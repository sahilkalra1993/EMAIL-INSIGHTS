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2.bin" ContentType="application/vnd.openxmlformats-officedocument.spreadsheetml.customProperty"/>
  <Override PartName="/xl/drawings/drawing2.xml" ContentType="application/vnd.openxmlformats-officedocument.drawing+xml"/>
  <Override PartName="/xl/customProperty3.bin" ContentType="application/vnd.openxmlformats-officedocument.spreadsheetml.customProperty"/>
  <Override PartName="/xl/drawings/drawing3.xml" ContentType="application/vnd.openxmlformats-officedocument.drawing+xml"/>
  <Override PartName="/xl/customProperty4.bin" ContentType="application/vnd.openxmlformats-officedocument.spreadsheetml.customProperty"/>
  <Override PartName="/xl/drawings/drawing4.xml" ContentType="application/vnd.openxmlformats-officedocument.drawing+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customProperty7.bin" ContentType="application/vnd.openxmlformats-officedocument.spreadsheetml.customProperty"/>
  <Override PartName="/xl/drawings/drawing7.xml" ContentType="application/vnd.openxmlformats-officedocument.drawing+xml"/>
  <Override PartName="/xl/customProperty8.bin" ContentType="application/vnd.openxmlformats-officedocument.spreadsheetml.customProperty"/>
  <Override PartName="/xl/drawings/drawing8.xml" ContentType="application/vnd.openxmlformats-officedocument.drawing+xml"/>
  <Override PartName="/xl/customProperty9.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kpmg\Desktop\Hackathon\"/>
    </mc:Choice>
  </mc:AlternateContent>
  <bookViews>
    <workbookView xWindow="0" yWindow="0" windowWidth="20496" windowHeight="7452" activeTab="1"/>
  </bookViews>
  <sheets>
    <sheet name="Dashboard" sheetId="1" r:id="rId1"/>
    <sheet name="getWordCloud" sheetId="19" r:id="rId2"/>
    <sheet name="TimeSorted" sheetId="15" r:id="rId3"/>
    <sheet name="DesignationSorted" sheetId="16" r:id="rId4"/>
    <sheet name="addressedToYou" sheetId="17" r:id="rId5"/>
    <sheet name="TypeOfEmail" sheetId="18" r:id="rId6"/>
    <sheet name="isNegativeContext" sheetId="20" r:id="rId7"/>
    <sheet name="overallPriority" sheetId="21" r:id="rId8"/>
    <sheet name="For_Dashboard" sheetId="2" state="hidden" r:id="rId9"/>
  </sheets>
  <definedNames>
    <definedName name="_xlnm._FilterDatabase" localSheetId="4" hidden="1">addressedToYou!$A$1:$K$23</definedName>
    <definedName name="_xlnm._FilterDatabase" localSheetId="0" hidden="1">Dashboard!$B$1:$C$2</definedName>
    <definedName name="_xlnm._FilterDatabase" localSheetId="3" hidden="1">DesignationSorted!$A$1:$K$23</definedName>
    <definedName name="_xlnm._FilterDatabase" localSheetId="1" hidden="1">getWordCloud!$A$2:$L$23</definedName>
    <definedName name="_xlnm._FilterDatabase" localSheetId="6" hidden="1">isNegativeContext!$A$1:$J$23</definedName>
    <definedName name="_xlnm._FilterDatabase" localSheetId="7" hidden="1">overallPriority!$A$1:$J$23</definedName>
    <definedName name="_xlnm._FilterDatabase" localSheetId="2" hidden="1">TimeSorted!$A$1:$K$23</definedName>
    <definedName name="_xlnm._FilterDatabase" localSheetId="5" hidden="1">TypeOfEmail!$A$1:$J$23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2" l="1"/>
  <c r="F2" i="2"/>
  <c r="E2" i="2"/>
  <c r="D2" i="2"/>
  <c r="C2" i="2"/>
  <c r="B2" i="2"/>
  <c r="A2" i="2"/>
  <c r="N8" i="1"/>
  <c r="K8" i="1"/>
  <c r="H8" i="1"/>
  <c r="E8" i="1"/>
  <c r="B8" i="1"/>
  <c r="H5" i="1"/>
  <c r="B5" i="1"/>
  <c r="L2" i="1"/>
</calcChain>
</file>

<file path=xl/sharedStrings.xml><?xml version="1.0" encoding="utf-8"?>
<sst xmlns="http://schemas.openxmlformats.org/spreadsheetml/2006/main" count="1167" uniqueCount="149">
  <si>
    <t>Date</t>
  </si>
  <si>
    <t>Total Attachments</t>
  </si>
  <si>
    <t>Total Email</t>
  </si>
  <si>
    <t>TO</t>
  </si>
  <si>
    <t>CC</t>
  </si>
  <si>
    <t>BCC</t>
  </si>
  <si>
    <t>FROM</t>
  </si>
  <si>
    <t>SUBJECT</t>
  </si>
  <si>
    <t>BODY</t>
  </si>
  <si>
    <t>ATTACHMENT</t>
  </si>
  <si>
    <t>sahilkalra1993@outlook.com</t>
  </si>
  <si>
    <t>sahilkalra1993@gmail.com</t>
  </si>
  <si>
    <t>praveenmysuru@gmail.com</t>
  </si>
  <si>
    <t>Send your resume</t>
  </si>
  <si>
    <t>pravmysuru@outlook.com</t>
  </si>
  <si>
    <t>Get ones 7 pro</t>
  </si>
  <si>
    <t>2019, May 11, 12:49</t>
  </si>
  <si>
    <t>s.mishra3191@outlook.com</t>
  </si>
  <si>
    <t>Fw: Status update - NSG data migration</t>
  </si>
  <si>
    <t>Status Update - NSG Data migration</t>
  </si>
  <si>
    <t>2019, May 11, 12:57</t>
  </si>
  <si>
    <t>uipath_hackdummy_2@outlook.com</t>
  </si>
  <si>
    <t>DSG Project deliverable</t>
  </si>
  <si>
    <t>Need Update on ABC</t>
  </si>
  <si>
    <t>2019, May 11, 13:29</t>
  </si>
  <si>
    <t>Leave request</t>
  </si>
  <si>
    <t>2019, May 11, 13:30</t>
  </si>
  <si>
    <t>Project Darwin Status Meeting</t>
  </si>
  <si>
    <t>2019, May 11, 14:52</t>
  </si>
  <si>
    <t>Fw: NSG status</t>
  </si>
  <si>
    <t>2019, May 11, 15:21</t>
  </si>
  <si>
    <t>Need update on KPN assignment</t>
  </si>
  <si>
    <t>2019, May 11, 15:26</t>
  </si>
  <si>
    <t>Major milestones for NSG</t>
  </si>
  <si>
    <t>2019, May 11, 15:29</t>
  </si>
  <si>
    <t>vamsivarada@outlook.com</t>
  </si>
  <si>
    <t>Skipton Airport Project</t>
  </si>
  <si>
    <t>Fw: 30 minutes is all it takes to prove your Artificial intelligence expertise</t>
  </si>
  <si>
    <t>2019, May 11, 15:46</t>
  </si>
  <si>
    <t>DESIGNATION LEVEL</t>
  </si>
  <si>
    <t>Senior</t>
  </si>
  <si>
    <t>Re: Data Scientist - Bangalore and 48 more Data Scientist jobs in Bangalore, IN for you!</t>
  </si>
  <si>
    <t>2019, May 11, 15:47</t>
  </si>
  <si>
    <t>Re: Major milestones for NSG</t>
  </si>
  <si>
    <t>2019, May 11, 15:49</t>
  </si>
  <si>
    <t>MOM</t>
  </si>
  <si>
    <t>FYI</t>
  </si>
  <si>
    <t>2019, May 11, 15:50</t>
  </si>
  <si>
    <t>Outside Domain</t>
  </si>
  <si>
    <t>Colleague</t>
  </si>
  <si>
    <t>mayank.dhanwantri@googlemail.com</t>
  </si>
  <si>
    <t>For Uipath Hackathon</t>
  </si>
  <si>
    <t>2019, May 11, 15:51</t>
  </si>
  <si>
    <t>mayankdhanwantri@hotmail.com</t>
  </si>
  <si>
    <t>Uipath Hackathon</t>
  </si>
  <si>
    <t>mdhanwantri@Kpmg.Com</t>
  </si>
  <si>
    <t>Test email</t>
  </si>
  <si>
    <t>2019, May 11, 15:53</t>
  </si>
  <si>
    <t>Mails Sent to You Only</t>
  </si>
  <si>
    <t>Mails From Seniors</t>
  </si>
  <si>
    <t>Mails waiting from Long</t>
  </si>
  <si>
    <t>Mails which seems important</t>
  </si>
  <si>
    <t>Mails from Colleugues</t>
  </si>
  <si>
    <t>Mails from Juniors</t>
  </si>
  <si>
    <t>Mails from Other Domains</t>
  </si>
  <si>
    <t>Indirect Emails</t>
  </si>
  <si>
    <t>Fresh Emails</t>
  </si>
  <si>
    <t>Forwarded Emails</t>
  </si>
  <si>
    <t>Replied Emails</t>
  </si>
  <si>
    <t>Mails which seems Negative</t>
  </si>
  <si>
    <t>UNIX TIME</t>
  </si>
  <si>
    <t>SHOW FLAG</t>
  </si>
  <si>
    <t>No</t>
  </si>
  <si>
    <t>ADDRESSED TO YOU</t>
  </si>
  <si>
    <t>Yes</t>
  </si>
  <si>
    <t>TYPE OF EMAIL</t>
  </si>
  <si>
    <t>New Email</t>
  </si>
  <si>
    <t>Forward</t>
  </si>
  <si>
    <t>Reply</t>
  </si>
  <si>
    <t>LOCATION</t>
  </si>
  <si>
    <t>C:\Users\kpmg\Desktop\Hackathon\WordCloud\2.jpg</t>
  </si>
  <si>
    <t>C:\Users\kpmg\Desktop\Hackathon\WordCloud\4.jpg</t>
  </si>
  <si>
    <t>C:\Users\kpmg\Desktop\Hackathon\WordCloud\5.jpg</t>
  </si>
  <si>
    <t>C:\Users\kpmg\Desktop\Hackathon\WordCloud\6.jpg</t>
  </si>
  <si>
    <t>C:\Users\kpmg\Desktop\Hackathon\WordCloud\7.jpg</t>
  </si>
  <si>
    <t>C:\Users\kpmg\Desktop\Hackathon\WordCloud\8.jpg</t>
  </si>
  <si>
    <t>C:\Users\kpmg\Desktop\Hackathon\WordCloud\9.jpg</t>
  </si>
  <si>
    <t>C:\Users\kpmg\Desktop\Hackathon\WordCloud\10.jpg</t>
  </si>
  <si>
    <t>C:\Users\kpmg\Desktop\Hackathon\WordCloud\11.jpg</t>
  </si>
  <si>
    <t>C:\Users\kpmg\Desktop\Hackathon\WordCloud\12.jpg</t>
  </si>
  <si>
    <t>C:\Users\kpmg\Desktop\Hackathon\WordCloud\13.jpg</t>
  </si>
  <si>
    <t>C:\Users\kpmg\Desktop\Hackathon\WordCloud\14.jpg</t>
  </si>
  <si>
    <t>C:\Users\kpmg\Desktop\Hackathon\WordCloud\15.jpg</t>
  </si>
  <si>
    <t>C:\Users\kpmg\Desktop\Hackathon\WordCloud\16.jpg</t>
  </si>
  <si>
    <t>C:\Users\kpmg\Desktop\Hackathon\WordCloud\17.jpg</t>
  </si>
  <si>
    <t>C:\Users\kpmg\Desktop\Hackathon\WordCloud\18.jpg</t>
  </si>
  <si>
    <t>C:\Users\kpmg\Desktop\Hackathon\WordCloud\19.jpg</t>
  </si>
  <si>
    <t>C:\Users\kpmg\Desktop\Hackathon\WordCloud\20.jpg</t>
  </si>
  <si>
    <t>C:\Users\kpmg\Desktop\Hackathon\WordCloud\21.jpg</t>
  </si>
  <si>
    <t>PRIORITY</t>
  </si>
  <si>
    <t>IS NEGATIVE</t>
  </si>
  <si>
    <t>Uipath: Test Email</t>
  </si>
  <si>
    <t>Really a bad day</t>
  </si>
  <si>
    <t>2019, May 11, 21:41</t>
  </si>
  <si>
    <t>Find the context</t>
  </si>
  <si>
    <t>2019, May 11, 22:55</t>
  </si>
  <si>
    <t>OVERALL PRIORITY</t>
  </si>
  <si>
    <t>Junior</t>
  </si>
  <si>
    <t>C:\Users\kpmg\Desktop\Hackathon\WordCloud\22.jpg</t>
  </si>
  <si>
    <t>C:\Users\kpmg\Desktop\Hackathon\WordCloud\23.jpg</t>
  </si>
  <si>
    <t>MAIL_RECEIVED_TIME</t>
  </si>
  <si>
    <t>MARK READ</t>
  </si>
  <si>
    <t>C:\Users\kpmg\Desktop\Hackathon\WordCloud\3.jpg</t>
  </si>
  <si>
    <t>Email Id</t>
  </si>
  <si>
    <t>Sahilkalra1993@outlook.com</t>
  </si>
  <si>
    <t>The film's development began when Marvel Studios received a loan from Merrill Lynch in April 2005. After the success of the film Iron Man in May 2008, Marvel announced that The Avengers would be released in July 2011. With the signing of Johansson in March 2009, the film was pushed back for a 2012 release. Whedon was brought on board in April 2010 and rewrote the original screenplay by Zak Penn. Production began in April 2011 in Albuquerque, New Mexico, before moving to Cleveland, Ohio, in August and New York City in September. The film was converted to 3D in post-production._x000D_
_x000D_
_x000D_
_x000D_
_x000D_
The Avengers premiered on April 11, 2012, at Hollywood's El Capitan Theatre and was released in the United States on May 4, 2012. The film received praise for direction, screenplay, acting, and musical score, and garnered numerous awards and nominations including Academy Award and BAFTA nominations for achievements in visual effects. It set or tied numerous box office records, including the biggest opening weekend in the United States and Canada. The Avengers grossed over $1.5 billion worldwide and became the third-highest-grossing film of all time, as well as the highest-grossing film of 2012. It is the first Marvel production to generate $1 billion in ticket sales. In 2017, it was featured as one of the 100 greatest films of all time in Empire magazine's poll of The 100 Greatest Movies._x000D_
_x000D_
_x000D_
_x000D_
_x000D_
Three sequels, titled Avengers: Age of Ultron, Avengers: Infinity War, and Avengers: Endgame, were released in May 2015, April 2018, and April 2019 respectively._x000D_</t>
  </si>
  <si>
    <t>Hey,_x000D_
_x000D_
You were on leave yesterday and everything screwed up. The client is really upset with the product and Manager is really annoyed. Gonna be a bad day for you._x000D_
_x000D_
*Test email for hackathon.</t>
  </si>
  <si>
    <t>Hi,_x000D_
_x000D_
simplistic , silly and tedious . _x000D_
it's so laddish and juvenile , only teenage boys could possibly find it funny . _x000D_
exploitative and largely devoid of the depth or sophistication that would make watching such a graphic treatment of the crimes bearable .</t>
  </si>
  <si>
    <t>2019, May 11, 21:37</t>
  </si>
  <si>
    <t>&amp;#0;hi Sahil,_x000D_
_x000D_
Writing this email to be sample of your Uipath sample._x000D_
_x000D_
Thanks,_x000D_
Mayank_x000D_
_x000D_
_________________________________x000D_
_x000D_
_x000D_
KPMG allows reasonable personal use of the e-mail system. Views and opinions expressed in these communications do not necessarily represent those of KPMG._x000D_
_x000D_
*******************************************************************************************************_x000D_
DISCLAIMER_x000D_
The information in this e-mail is confidential and may be legally privileged. It is intended solely for the addressee. Access to this e-mail by anyone else is unauthorized. If you have received this communication in error, please address with the subject heading "Received in error," send to postmaster6@kpmg.com, then delete the e-mail and destroy any copies of it. If you are not the intended recipient, any disclosure, copying, distribution or any action taken or omitted to be taken in reliance on it, is prohibited and may be unlawful. Any opinions or advice contained in this e-mail are subject to the terms and conditions expressed in the governing KPMG client engagement letter. Opinions, conclusions and other information in this e-mail and any attachments that do not relate to the official business of KPMG are neither given nor endorsed by it._x000D_
_x000D_
KPMG cannot guarantee that e-mail communications are secure or error-free, as information could be intercepted, corrupted, amended, lost, destroyed, arrive late or incomplete, or contain viruses._x000D_
_x000D_
“KPMG”, refers to the platform of Indian delivery entities, which consist of KPMG Global Services Private Limited (“KGSPL”), KPMG Global Services Management Private Limited (“KGSMPL”), KPMG Global Delivery Centre Private Limited (“GDCPL”) and KPMG Resource Centre Private Limited (“KRCPL”). Each platform entity is duly constituted under applicable Indian laws and is either a sub-licensee(s) or controlled party of a member firm of KPMG International Cooperative ("KPMG International"), a Swiss entity that serves as a coordinating entity for a network of independent firms operating under the KPMG name. KPMG International Cooperative (“KPMG International”) provides no services to clients. Each member firm of KPMG International Cooperative (“KPMG International”) is a legally distinct and separate entity and each describes itself as such._x000D_
*******************************************************************************************************_x000D_
_x000D_
CONFIDENTIALITY NOTICE: This e-mail message including attachments, if any, is intended for the person or entity to which it is addressed and may contain confidential and/or privileged material. Any unauthorized review, use, disclosure or distribution is prohibited. If you are not the intended recipient, please contact the sender by reply e-mail and destroy all copies of the original message. Thank you._x000D_
*******************************************************************************************************_x000D_
_x000D_</t>
  </si>
  <si>
    <t>Hello Sahil,_x000D_
_x000D_
_x000D_
_x000D_
Sending this email to be part of your Hackathon project sample._x000D_
_x000D_
_x000D_
_x000D_
Thanks,_x000D_
_x000D_
_x000D_
Mayank_x000D_
_x000D_
_x000D_
_x000D_
_x000D_
Get Outlook for Android &lt;https://aka.ms/ghei36&gt; _x000D_</t>
  </si>
  <si>
    <t>Hello Sahil,_x000D_
_x000D_
Sending this email to be part of your Hackathon project sample._x000D_
_x000D_
Thanks,_x000D_
Mayank</t>
  </si>
  <si>
    <t>sahilkalra1993@outlook.com, sahilkalra1993@outlook.com</t>
  </si>
  <si>
    <t>s.mishra3191@outlook.com, sahilkalra1993@outlook.com</t>
  </si>
  <si>
    <t>Hi,_x000D_
_x000D_
Thank you for the information. We are good to so._x000D_
_x000D_
Regards,_x000D_
_x000D_
_________________________________x000D_
_x000D_
From: s.mishra3191@outlook.com &lt;s.mishra3191@outlook.com&gt;_x000D_
Sent: Saturday, May 11, 2019 3:29 PM_x000D_
To: sahilkalra1993@outlook.com_x000D_
Cc: pravmysuru@outlook.com; vamsivarada@outlook.com_x000D_
Subject: Major milestones for NSG _x000D_
 _x000D_
Hi Sahil,_x000D_
_x000D_
Please see the status of the project in the table below. The project looks good, and we are confident that we will complete it on time._x000D_
_x000D_
No major issues have come up since the last E-mail was sent on 31-Jul-2017. Please reply to this E-mail if you require any further clarifications, or wish to raise an issue for us to take care of._x000D_
_x000D_
_x000D_
_x000D_
Best Regards,_x000D_
Subir</t>
  </si>
  <si>
    <t>sahilkalra1993@outlook.com, sahilkalra1993@outlook.com, pravmysuru@outlook.com</t>
  </si>
  <si>
    <t>sahilkalra1993@outlook.com, s.mishra3191@outlook.com, pravmysuru@outlook.com</t>
  </si>
  <si>
    <t>Please find the below update._x000D_
_x000D_
_x000D_
Regards,_x000D_
Vamsi_x000D_
_x000D_
_________________________________x000D_
_x000D_
From: Your daily job alert | Neuvoo &lt;job@neuvoo.com&gt;_x000D_
Sent: Thursday, January 3, 2019 7:42 AM_x000D_
To: vamsivarada@outlook.com_x000D_
Subject: Data Scientist - Bangalore and 48 more Data Scientist jobs in Bangalore, IN for you! _x000D_
 _x000D_
 &lt;http://neuvoo.ca/V5/img/neuvoo.png&gt; _x000D_
 &lt;https://neuvoo.co.in/&gt; 	_x000D_
30+ new Data Scientist opportunities in Bangalore, IN	 _x000D_
 	 _x000D_
&lt;https://neuvoo.co.in/job.php?id=g7se6na9n9&amp;pag=1&amp;pos=0&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Senior Data Scientist - Machine Learning (6-12 yrs) Bangalore (Systems/Product Software) &lt;https://neuvoo.co.in/job.php?id=g7se6na9n9&amp;pag=1&amp;pos=0&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DataGroup Geospatial Technologies Pvt Ltd - Bangalore 	_x000D_
	_x000D_
DataGroup Geospatial Technologies Pvt Ltd in Bangalore wants to hire a Senior Data Scientist - Machine Learning (6-12 yrs) Bangalore (Systems/Product Software). We are looking for candidates like you! You will be in charge of ..._x000D_
	_x000D_
17h ago 	_x000D_
&lt;https://neuvoo.co.in/job.php?id=eae8b3c3213b&amp;pag=1&amp;pos=1&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Bangalore &lt;https://neuvoo.co.in/job.php?id=eae8b3c3213b&amp;pag=1&amp;pos=1&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Hirewaves Solutions LLP - Bangalore 	_x000D_
	_x000D_
For Hirewaves Solutions LLP we are looking to quickly hire a Data Scientist - Bangalore in Bangalore. As a Data Scientist - Bangalore you duties will be also to ...._x000D_
	_x000D_
17h ago 	_x000D_
&lt;https://neuvoo.co.in/job.php?id=bac7wt0yv8&amp;pag=1&amp;pos=2&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Machine Learning Data Engineer &lt;https://neuvoo.co.in/job.php?id=bac7wt0yv8&amp;pag=1&amp;pos=2&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BlueOptima - Bengaluru Bangalore, India 	_x000D_
12 - 30 lacs/annum 	_x000D_
BlueOptima in Bengaluru Bangalore, India wants to hire a Machine Learning Data Engineer. We are looking for candidates like you! You will be in charge of ..._x000D_
	_x000D_
17h ago 	_x000D_
&lt;https://neuvoo.co.in/job.php?id=f8e222accded&amp;pag=1&amp;pos=3&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Looking Data Scientist In Bangalore Location &lt;https://neuvoo.co.in/job.php?id=f8e222accded&amp;pag=1&amp;pos=3&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Talent HR Networks Private Limited - Bangalore 	_x000D_
	_x000D_
Talent HR Networks Private Limited in Bangalore wants to hire a Looking Data Scientist In Bangalore Location. We are looking for candidates like you! You will be in charge of ..._x000D_
	_x000D_
17h ago 	_x000D_
&lt;https://neuvoo.co.in/job.php?id=x8f299dcbh&amp;pag=1&amp;pos=4&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Analytics/Machine Learning (5-8 yrs) Bangalore (Systems/Product Software) &lt;https://neuvoo.co.in/job.php?id=x8f299dcbh&amp;pag=1&amp;pos=4&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Recrumart - Bangalore 	_x000D_
	_x000D_
Are you looking for a job as Data Scientist - Analytics/Machine Learning (5-8 yrs) Bangalore (Systems/Product Software) ? Currently we are searching for a Data Scientist - Analytics/Machine Learning (5-8 yrs) Bangalore (Systems/Product Software) in Bangalore to work for Recrumart. Being a Data Scientist - Analytics/Machine Learning (5-8 yrs) Bangalore (Systems/Product Software) for Recrumart you will be in charge of..._x000D_
	_x000D_
17h ago 	_x000D_
&lt;https://neuvoo.co.in/job.php?id=f07771b67efc&amp;pag=1&amp;pos=5&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lt;https://neuvoo.co.in/job.php?id=f07771b67efc&amp;pag=1&amp;pos=5&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Managed Staffing - Bangalore 	_x000D_
	_x000D_
Managed Staffing in Bangalore wants to hire a Data Scientist. We are looking for candidates like you! You will be in charge of ..._x000D_
	_x000D_
17h ago 	_x000D_
&lt;https://neuvoo.co.in/job.php?id=2257930d0124&amp;pag=1&amp;pos=6&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Machine Learning/Artificial Intelligence (7-12 yrs) Bangalore (Systems/Product Software) &lt;https://neuvoo.co.in/job.php?id=2257930d0124&amp;pag=1&amp;pos=6&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Executive Search Firm - Bangalore 	_x000D_
	_x000D_
Executive Search Firm in Bangalore wants to hire a Data Scientist - Machine Learning/Artificial Intelligence (7-12 yrs) Bangalore (Systems/Product Software). We are looking for candidates like you! You will be in charge of ..._x000D_
	_x000D_
17h ago 	_x000D_
&lt;https://neuvoo.co.in/job.php?id=8003862973de&amp;pag=1&amp;pos=7&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SigTuple - Senior Computer/Data Scientist - C/C++ (2-6 yrs) Bangalore (Systems/Product Software) &lt;https://neuvoo.co.in/job.php?id=8003862973de&amp;pag=1&amp;pos=7&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SigTuple - Bangalore 	_x000D_
	_x000D_
Apply as a SigTuple - Senior Computer/Data Scientist - C/C++ (2-6 yrs) Bangalore (Systems/Product Software) in Bangalore. SigTuple is looking for a SigTuple - Senior Computer/Data Scientist - C/C++ (2-6 yrs) Bangalore (Systems/Product Software) . Your duties will be ..._x000D_
	_x000D_
17h ago 	_x000D_
&lt;https://neuvoo.co.in/job.php?id=d77e467b8c13&amp;pag=1&amp;pos=8&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(Onsite in Kuala Lumpur- Immediate joinings required) &lt;https://neuvoo.co.in/job.php?id=d77e467b8c13&amp;pag=1&amp;pos=8&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Apar Technologies Private Limited - Bangalore 	_x000D_
	_x000D_
We are looking for a Data Scientist (Onsite in Kuala Lumpur- Immediate joinings required) in Bangalore. As a Data Scientist (Onsite in Kuala Lumpur- Immediate joinings required) for Apar Technologies Private Limited you will be in charge of..._x000D_
	_x000D_
17h ago 	_x000D_
&lt;https://neuvoo.co.in/job.php?id=3b2f5c51c735&amp;pag=1&amp;pos=9&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Python/Tableau - NIT/IIT/BITS (2-5 yrs) Bangalore (Systems/Product Software) &lt;https://neuvoo.co.in/job.php?id=3b2f5c51c735&amp;pag=1&amp;pos=9&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Talent Stock Solution - Bangalore 	_x000D_
	_x000D_
Apply as a Data Scientist - Python/Tableau - NIT/IIT/BITS (2-5 yrs) Bangalore (Systems/Product Software) in Bangalore. Talent Stock Solution is looking for a Data Scientist - Python/Tableau - NIT/IIT/BITS (2-5 yrs) Bangalore (Systems/Product Software) . Your duties will be ..._x000D_
	_x000D_
17h ago 	_x000D_
&lt;https://neuvoo.co.in/job.php?id=u07rcd7k5u&amp;pag=1&amp;pos=10&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Senior Consultant - Data Analytics/Data Scientist (6-15 yrs) Bangalore (Systems/Product Software) &lt;https://neuvoo.co.in/job.php?id=u07rcd7k5u&amp;pag=1&amp;pos=10&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FirstMile IT Services Inc. - Bangalore 	_x000D_
	_x000D_
FirstMile IT Services Inc. in Bangalore wants to hire a Senior Consultant - Data Analytics/Data Scientist (6-15 yrs) Bangalore (Systems/Product Software). We are looking for candidates like you! You will be in charge of ..._x000D_
	_x000D_
17h ago 	_x000D_
&lt;https://neuvoo.co.in/job.php?id=6f080bbe8cfc&amp;pag=1&amp;pos=11&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Crdr Infotech - Senior Data Scientist - Machine Learning/Deep Learning (8-9 yrs) Bangalore (Systems/Product Software) &lt;https://neuvoo.co.in/job.php?id=6f080bbe8cfc&amp;pag=1&amp;pos=11&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CRDR Infotech Pvt Ltd - Bangalore 	_x000D_
	_x000D_
For CRDR Infotech Pvt Ltd we are looking to quickly hire a Crdr Infotech - Senior Data Scientist - Machine Learning/Deep Learning (8-9 yrs) Bangalore (Systems/Product Software) in Bangalore. As a Crdr Infotech - Senior Data Scientist - Machine Learning/Deep Learning (8-9 yrs) Bangalore (Systems/Product Software) you duties will be also to ...._x000D_
	_x000D_
17h ago 	_x000D_
&lt;https://neuvoo.co.in/job.php?id=594647666e07&amp;pag=1&amp;pos=12&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NLP/Machine Learning (5-10 yrs) Bangalore (Systems/Product Software) &lt;https://neuvoo.co.in/job.php?id=594647666e07&amp;pag=1&amp;pos=12&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nexChange.in - Bangalore 	_x000D_
	_x000D_
For nexChange.in we are looking to quickly hire a Data Scientist - NLP/Machine Learning (5-10 yrs) Bangalore (Systems/Product Software) in Bangalore. As a Data Scientist - NLP/Machine Learning (5-10 yrs) Bangalore (Systems/Product Software) you duties will be also to ...._x000D_
	_x000D_
17h ago 	_x000D_
&lt;https://neuvoo.co.in/job.php?id=0ccd0c8b9e29&amp;pag=1&amp;pos=13&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BANGALORE - 3 to 7 yrs &lt;https://neuvoo.co.in/job.php?id=0ccd0c8b9e29&amp;pag=1&amp;pos=13&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Gsn Consulting - Bangalore 	_x000D_
	_x000D_
For Gsn Consulting we are looking to quickly hire a DATA SCIENTIST - BANGALORE - 3 to 7 yrs in Bangalore. As a DATA SCIENTIST - BANGALORE - 3 to 7 yrs you duties will be also to ...._x000D_
	_x000D_
17h ago 	_x000D_
&lt;https://neuvoo.co.in/job.php?id=5d4f78284cde&amp;pag=1&amp;pos=14&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(Modeling) / (Visualization and storyboarding) &lt;https://neuvoo.co.in/job.php?id=5d4f78284cde&amp;pag=1&amp;pos=14&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Infiniti Research Marketing Solutions India Private Limited - Bangalore 	_x000D_
	_x000D_
Infiniti Research Marketing Solutions India Private Limited in Bangalore wants to hire a Data scientist (Modeling) / (Visualization and storyboarding). We are looking for candidates like you! You will be in charge of ..._x000D_
	_x000D_
17h ago 	_x000D_
&lt;https://neuvoo.co.in/job.php?id=3635y2u78p&amp;pag=1&amp;pos=15&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NLP/Deep Learning (7-13 yrs) Bangalore (Systems/Product Software) &lt;https://neuvoo.co.in/job.php?id=3635y2u78p&amp;pag=1&amp;pos=15&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CareerNet - Bangalore 	_x000D_
	_x000D_
Apply as a Data Scientist - NLP/Deep Learning (7-13 yrs) Bangalore (Systems/Product Software) in Bangalore. CareerNet is looking for a Data Scientist - NLP/Deep Learning (7-13 yrs) Bangalore (Systems/Product Software) . Your duties will be ..._x000D_
	_x000D_
17h ago 	_x000D_
&lt;https://neuvoo.co.in/job.php?id=cda6016b3cd1&amp;pag=1&amp;pos=16&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Go-ibibo - Data Scientist - Big Data Ecosystem (2-4 yrs) Bangalore (Systems/Product Software) &lt;https://neuvoo.co.in/job.php?id=cda6016b3cd1&amp;pag=1&amp;pos=16&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Go-MMT - Bangalore 	_x000D_
	_x000D_
For Go-MMT we are looking to quickly hire a Go-ibibo - Data Scientist - Big Data Ecosystem (2-4 yrs) Bangalore (Systems/Product Software) in Bangalore. As a Go-ibibo - Data Scientist - Big Data Ecosystem (2-4 yrs) Bangalore (Systems/Product Software) you duties will be also to ...._x000D_
	_x000D_
17h ago 	_x000D_
&lt;https://neuvoo.co.in/job.php?id=284655cd82f2&amp;pag=1&amp;pos=17&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Analyst / Scientist &lt;https://neuvoo.co.in/job.php?id=284655cd82f2&amp;pag=1&amp;pos=17&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Multi Recruit - Bangalore 	_x000D_
	_x000D_
Apply as a Data Analyst / Scientist in Bangalore. Multi Recruit is looking for a Data Analyst / Scientist . Your duties will be ..._x000D_
	_x000D_
17h ago 	_x000D_
&lt;https://neuvoo.co.in/job.php?id=c9c71fd1ba64&amp;pag=1&amp;pos=18&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and Analyst &lt;https://neuvoo.co.in/job.php?id=c9c71fd1ba64&amp;pag=1&amp;pos=18&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Ons Search - Bangalore 	_x000D_
	_x000D_
We are looking for a Data Scientist and Analyst in Bangalore. As a Data Scientist and Analyst for Ons Search you will be in charge of..._x000D_
	_x000D_
17h ago 	_x000D_
&lt;https://neuvoo.co.in/job.php?id=4530ac6b84eb&amp;pag=1&amp;pos=19&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Product Manager - Data Scientist &lt;https://neuvoo.co.in/job.php?id=4530ac6b84eb&amp;pag=1&amp;pos=19&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 A Tech Software India Private Limited - Bangalore 	_x000D_
	_x000D_
S A Tech Software India Private Limited in Bangalore wants to hire a Product Manager - Data Scientist. We are looking for candidates like you! You will be in charge of ..._x000D_
	_x000D_
17h ago 	_x000D_
&lt;https://neuvoo.co.in/job.php?id=9ae0ce00ddca&amp;pag=1&amp;pos=20&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lt;https://neuvoo.co.in/job.php?id=9ae0ce00ddca&amp;pag=1&amp;pos=20&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BR Raysoft Global Private Limited - Bangalore 	_x000D_
	_x000D_
We are looking for a Data Scientist in Bangalore. As a Data Scientist for BR Raysoft Global Private Limited you will be in charge of..._x000D_
	_x000D_
1d ago 	_x000D_
&lt;https://neuvoo.co.in/job.php?id=aa97164f10d8&amp;pag=1&amp;pos=21&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Senior Data Scientist &lt;https://neuvoo.co.in/job.php?id=aa97164f10d8&amp;pag=1&amp;pos=21&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UpGrad - Bengaluru Bangalore, India 	_x000D_
15 - 30 lacs/annum 	_x000D_
Are you looking for a job as Senior Data Scientist ? Currently we are searching for a Senior Data Scientist in Bengaluru Bangalore, India to work for UpGrad. Being a Senior Data Scientist for UpGrad you will be in charge of..._x000D_
	_x000D_
3d ago 	_x000D_
&lt;https://neuvoo.co.in/job.php?id=b791471f3a7c&amp;pag=1&amp;pos=22&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lt;https://neuvoo.co.in/job.php?id=b791471f3a7c&amp;pag=1&amp;pos=22&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2COMS Consulting Private Limited - Bangalore 	_x000D_
	_x000D_
2COMS Consulting Private Limited in Bangalore wants to hire a Data Scientist. We are looking for candidates like you! You will be in charge of ..._x000D_
	_x000D_
2d ago 	_x000D_
&lt;https://neuvoo.co.in/job.php?id=5a51ba13f995&amp;pag=1&amp;pos=23&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Project Manager - Data Scientist (8-12 yrs) Bangalore (Systems/Product Software) &lt;https://neuvoo.co.in/job.php?id=5a51ba13f995&amp;pag=1&amp;pos=23&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Advika Solutions - Bangalore 	_x000D_
	_x000D_
Are you looking for a job as Project Manager - Data Scientist (8-12 yrs) Bangalore (Systems/Product Software) ? Currently we are searching for a Project Manager - Data Scientist (8-12 yrs) Bangalore (Systems/Product Software) in Bangalore to work for Advika Solutions. Being a Project Manager - Data Scientist (8-12 yrs) Bangalore (Systems/Product Software) for Advika Solutions you will be in charge of..._x000D_
	_x000D_
3d ago 	_x000D_
&lt;https://neuvoo.co.in/job.php?id=a78159a2f0a1&amp;pag=1&amp;pos=24&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Software Engineer - Data Analysis &lt;https://neuvoo.co.in/job.php?id=a78159a2f0a1&amp;pag=1&amp;pos=24&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Red Hat Inc. - Bangalore, IN, United States 	_x000D_
	_x000D_
We are looking for a Software Engineer - Data Analysis in Bangalore, IN, United States. As a Software Engineer - Data Analysis for Red Hat Inc. you will be in charge of..._x000D_
	_x000D_
1d ago 	_x000D_
&lt;https://neuvoo.co.in/job.php?id=833852a3a334&amp;pag=1&amp;pos=25&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lt;https://neuvoo.co.in/job.php?id=833852a3a334&amp;pag=1&amp;pos=25&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Vedantu - Bengaluru (Bangalore), India 	_x000D_
8 - 16 lacs/annum 	_x000D_
For Vedantu we are looking to quickly hire a Data Scientist in Bengaluru (Bangalore), India. As a Data Scientist you duties will be also to ...._x000D_
	_x000D_
2d ago 	_x000D_
&lt;https://neuvoo.co.in/job.php?id=7431580fd028&amp;pag=1&amp;pos=26&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Chief Data Scientist - Machine Learning/Python (7-15 yrs) Bangalore (Systems/Product Software) &lt;https://neuvoo.co.in/job.php?id=7431580fd028&amp;pag=1&amp;pos=26&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Catalyst Solutions - Bangalore 	_x000D_
	_x000D_
We are looking for a Chief Data Scientist - Machine Learning/Python (7-15 yrs) Bangalore (Systems/Product Software) in Bangalore. As a Chief Data Scientist - Machine Learning/Python (7-15 yrs) Bangalore (Systems/Product Software) for Catalyst Solutions you will be in charge of..._x000D_
	_x000D_
3d ago 	_x000D_
&lt;https://neuvoo.co.in/job.php?id=f4ff524a4a4e&amp;pag=1&amp;pos=27&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TCS is hiring for Data Scientist (Walk-in Drive on 24th November 2018) &lt;https://neuvoo.co.in/job.php?id=f4ff524a4a4e&amp;pag=1&amp;pos=27&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TATA Consultancy Services Ltd. - Bangalore 	_x000D_
	_x000D_
We are looking for a TCS is hiring for Data Scientist (Walk-in Drive on 24th November 2018) in Bangalore. As a TCS is hiring for Data Scientist (Walk-in Drive on 24th November 2018) for TATA Consultancy Services Ltd. you will be in charge of..._x000D_
	_x000D_
3d ago 	_x000D_
&lt;https://neuvoo.co.in/job.php?id=79bad3ce0107&amp;pag=1&amp;pos=28&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Scientists &lt;https://neuvoo.co.in/job.php?id=79bad3ce0107&amp;pag=1&amp;pos=28&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Saorsa Jobs - Bangalore 	_x000D_
	_x000D_
Apply as a Data Scientists in Bangalore. Saorsa Jobs is looking for a Data Scientists . Your duties will be ..._x000D_
	_x000D_
3d ago 	_x000D_
&lt;https://neuvoo.co.in/job.php?id=22b0059f98fd&amp;pag=1&amp;pos=29&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Data Scientist - R/NoSQL/Hadoop/MongoDB - IIT/NIT/BITS (1-3 yrs) Bangalore (Systems/Product Software) &lt;https://neuvoo.co.in/job.php?id=22b0059f98fd&amp;pag=1&amp;pos=29&amp;utm_medium=email&amp;source=neuvoo-email&amp;tl1=s21_v7&amp;tl2=c_default&amp;tl3=d1_v7&amp;tgroup=challengerv12newt&amp;current_group=instant_full&amp;email_source=view-b&amp;refid=hqdup4vpay&amp;email_datein=2018-08-08T00%3A35%3A42Z&amp;email_datesent=2019-01-02T21%3A12%3A52Z&amp;utm_source=outlook.com&amp;lang=en&gt;  	_x000D_
Anzy Careers - Bangalore 	_x000D_
	_x000D_
For Anzy Careers we are looking to quickly hire a Data Scientist - R/NoSQL/Hadoop/MongoDB - IIT/NIT/BITS (1-3 yrs) Bangalore (Systems/Product Software) in Bangalore. As a Data Scientist - R/NoSQL/Hadoop/MongoDB - IIT/NIT/BITS (1-3 yrs) Bangalore (Systems/Product Software) you duties will be also to ...._x000D_
	_x000D_
3d ago 	_x000D_
35995 new opportunities 	_x000D_
View all jobs &lt;http://neuvoo.co.in/jobs/?k=Data+Scientist&amp;l=Bangalore%2C+IN&amp;by=date&amp;refid=hqdup4vpay&amp;utm_source=email&amp;utm_medium=&gt;  _x000D_
You are receiving this email because you have subscribed to neuvoo's job alert system. _x000D_
If you want to improve your job alerts, please click here: _x000D_
Manage job alert settings &lt;http://neuvoo.co.in/my/notifications/?e_token=39aa1aafdaa329ed5aa719aa1aaf49aeca9fba9c1aafgc&amp;authToken=db45b2716b8330b5&amp;lang=en&gt;  _x000D_
If you are receiving this by error or want to completely unsubscribe from all alerts, please click here: _x000D_
Unsubscribe from Job Alert &lt;http://neuvoo.co.in/my/notifications/?e_token=39aa1aafdaa329ed5aa719aa1aaf49aeca9fba9c1aafgc&amp;authToken=db45b2716b8330b5&amp;lang=en&gt;  _x000D_
_x000D_</t>
  </si>
  <si>
    <t>FYI_x000D_
_x000D_
_________________________________x000D_
_x000D_
From: Jio Code Gladiators 2019 &lt;contest@techgig.com&gt;_x000D_
Sent: Friday, May 10, 2019 7:54 PM_x000D_
To: vamsivarada@outlook.com_x000D_
Subject: 30 minutes is all it takes to prove your Artificial intelligence expertise _x000D_
 _x000D_
 	 _x000D_
 &lt;https://www.techgig.com/files/contest_upload_files/cg2019_mailerlogo.png&gt; 	in association with	  &lt;https://www.techgig.com/files/cg2015_images/sponsor_image_1554294854_jio_logo-01.png&gt; 	_x000D_
 	 _x000D_
 	 _x000D_
Hi Vamsi Null,	 _x000D_
 	 _x000D_
You have taken the first step but it doesn't end here!	 _x000D_
 	 _x000D_
Crack the 30 minute MCQ screening round to become eligible for the Artificial intelligence online hackathon round. Doing well in this hackathon lets you showcase your talent to Reliance Jio Infocomm Limited and get recognition within the Artificial intelligence community. 	_x000D_
 	 _x000D_
Click on the button below to continue your Code Gladiators journey.	 _x000D_
 	 _x000D_
Participate Now &lt;https://techgig.com/mail_redirect.php?url=https://www.techgig.com/codegladiators/artificial-intelligence?solve=1%26utm_source%3DTG_batch%26utm_medium%3Demail%26utm_campaign%3Dcodegladiators_2019-05-10%26%26auto_login=YXU0RzVyZ0hZWXgvY0NHK1Irai82alIvQ2RJZTZ5SW1WS3ZLTDZiVWJRTTFuZ09iZFVVeE9CRlJHbFhWZi9SUE1JZ3ZpOTRCRE5sTzAvYnE3YzBIZlE9PQ==%26etoken=YXU0RzVyZ0hZWXgvY0NHK1Irai82Z0RwajRSLzVDeThGOHNHRit5SE1xTT0=%26activity_name%3DNDk1Mjg4%26template_type%3D0&gt; 	 _x000D_
 	 _x000D_
Awards &amp; Prizes	 _x000D_
 	 _x000D_
 &lt;https://www.techgig.com/files/contest_upload_files/award-theme-110419.png&gt; 	_x000D_
 	 _x000D_
Theme Champion 	_x000D_
 	 _x000D_
Rs. 1,75,000 	_x000D_
 	 _x000D_
1st Runner-up 	_x000D_
Rs. 1,25,000 	_x000D_
2nd Runner-up 	_x000D_
Rs. 75,000 	_x000D_
 	 _x000D_
View all prizes &lt;https://techgig.com/mail_redirect.php?url=https%3A%2F%2Fwww.techgig.com%2Fcodegladiators%2Fprizes%3Futm_source%3DTG_batch%26utm_medium%3Demail%26utm_campaign%3Dcodegladiators_2019-05-10%26date%3D2019-05-10%26auto_login=YXU0RzVyZ0hZWXgvY0NHK1Irai82alIvQ2RJZTZ5SW1WS3ZLTDZiVWJRTTFuZ09iZFVVeE9CRlJHbFhWZi9SUE1JZ3ZpOTRCRE5sTzAvYnE3YzBIZlE9PQ==%26%26etoken=YXU0RzVyZ0hZWXgvY0NHK1Irai82Z0RwajRSLzVDeThGOHNHRit5SE1xTT0=%26activity_name%3DNDk1Mjg4%26template_type%3D0&gt;  	_x000D_
 	 _x000D_
Warm Regards,	 _x000D_
Team TechGig	 _x000D_
 	 _x000D_
 	 _x000D_
TechGig.com 	_x000D_
 	 _x000D_
Times Center, FC - 6, Sector 16 A, Film City,_x000D_
Noida - 201301, Uttar Pradesh, India 	_x000D_
Follow Us on	 _x000D_
 	 _x000D_
 &lt;http://www.facebook.com/TechGig&gt;   &lt;https://twitter.com/#!/techgigdotcom&gt;   &lt;https://www.linkedin.com/company/techgig-com&gt;   &lt;https://plus.google.com/u/0/117998831806893066529&gt; 	 _x000D_
Download App	 _x000D_
 	 _x000D_
 &lt;https://play.google.com/store/apps/details?id=com.timesgroup.techgig&amp;hl=en&amp;utm_source=Email&amp;utm_medium=app_icon&amp;utm_campaign=TgAppIcon&gt;   &lt;https://itunes.apple.com/in/app/techgig/id948609992?mt=8&amp;utm_source=Email&amp;utm_medium=app_icon&amp;utm_campaign=TgAppIcon&gt; 	 _x000D_
 	 _x000D_
 	 _x000D_
Note: For your privacy and protection, please do not forward this mail to anyone as it allows you to get automatically logged into your account._x000D_
If you do not want to receive this mailer, please unsubscribe here. &lt;https://www.techgig.com/block_invitations.php?block_etoken=YXU0RzVyZ0hZWXgvY0NHK1Irai82Z0RwajRSLzVDeThGOHNHRit5SE1xTT0=&amp;receiverUid=YXU0RzVyZ0hZWXgvY0NHK1Irai82Z0RwajRSLzVDeThGOHNHRit5SE1xTT0=&amp;master_ref_id=NDk1Mjg4&amp;template_type=0&amp;activity_id=MTY3&gt; To make sure this email is not sent to your "junk/spam" folder, select the email and add the sender to your Address Book. _x000D_
 &lt;https://www.techgig.com/mis/tj_mailer_opened_count_all.php?etoken=YXU0RzVyZ0hZWXgvY0NHK1Irai82Z0RwajRSLzVDeThGOHNHRit5SE1xTT0=&amp;activity_name=NDk1Mjg4%26template_type%3D0&amp;subject_line=30+minutes+is+all+it+takes+to+prove+your+season_name+expertise&amp;current_date=2019-05-10&gt; _x000D_</t>
  </si>
  <si>
    <t>sahilkalra1993@outlook.com, sahilkalra1993@outlook.com, pravmysuru@outlook.com, pravmysuru@outlook.com</t>
  </si>
  <si>
    <t>sahilkalra1993@outlook.com, pravmysuru@outlook.com</t>
  </si>
  <si>
    <t>HI Sahil,_x000D_
_x000D_
_x000D_
I am writing in reference to the current situation with the Skipton Airport Project. We have a number of questions which we hope you could answer._x000D_
_x000D_
_x000D_
_x000D_
First of all, could you please provide us with an update on where you are on the Skipton Airport Project. We would also appreciate it if you could clarify what the current issues with the delivery system are, and confirm when you expect them to be resolved._x000D_
_x000D_
_x000D_
_x000D_
In addition, at the end of our last meeting we requested a copy of the latest project update report. Unfortunately, we have still not received it. We would appreciate it if you could forward this to us._x000D_
_x000D_
_x000D_
_x000D_
Could you also please confirm whether the post-installation support covers the equipment 24 hours a day? And what is actually included in the support? In particular, we would like to have confirmation if the cost of parts and labour are included in the package? We require this information as soon as possible._x000D_
_x000D_
_x000D_
_x000D_
And lastly, we are considering extending the period of the post-installation support from your company from 6 months to 12 months. We would be very grateful ifyou could provide us with a quote for this extension._x000D_
_x000D_
_x000D_
_x000D_
I would really appreciate it if you could deal with these matters urgently._x000D_
_x000D_
_x000D_
I look forward to hearing from you._x000D_
_x000D_
_x000D_
_x000D_
Regards,_x000D_
Vamsi</t>
  </si>
  <si>
    <t>2019, May 11, 15:44</t>
  </si>
  <si>
    <t>Hi Sahil,_x000D_
_x000D_
Please see the status of the project in the table below. The project looks good, and we are confident that we will complete it on time._x000D_
_x000D_
No major issues have come up since the last E-mail was sent on 31-Jul-2017. Please reply to this E-mail if you require any further clarifications, or wish to raise an issue for us to take care of._x000D_
_x000D_
_x000D_
_x000D_
Best Regards,_x000D_
Subir</t>
  </si>
  <si>
    <t>Hi Sahil! _x000D_
_x000D_
_x000D_
_x000D_
_x000D_
Hope all’s well. Just touching base for a quick update on [project]._x000D_
_x000D_
If you could let me know as soon as practical, would be appreciated._x000D_
_x000D_
Many thanks!_x000D_
_x000D_
Kind regards_x000D_
_x000D_
Subir</t>
  </si>
  <si>
    <t>Hey Sahil,_x000D_
_x000D_
_x000D_
Just wanted to check in on the action items that you took on last week during the Project NSG status update. In the meeting you had targeted trying to complete it by yesterday. Do you have a new time-frame you want to target for completion?_x000D_
_x000D_
_x000D_
Thanks,_x000D_
_x000D_
_x000D_
Subir</t>
  </si>
  <si>
    <t>sahilkalra1993@outlook.com, sahilkalra1993@outlook.com, pravmysuru@outlook.com, pravmysuru@outlook.com, sahilkalra1993@outlook.com, s.mishra3191@outlook.com, pravmysuru@outlook.com, vamsivarada@outlook.com</t>
  </si>
  <si>
    <t>uipath_hackdummy_1@outlook.com, sahilkalra1993@outlook.com, s.mishra3191@outlook.com, pravmysuru@outlook.com, vamsivarada@outlook.com</t>
  </si>
  <si>
    <t>Hi Team Please find the below agenda for today's meeting_x000D_
_x000D_
Project Darwin Status Meeting_x000D_
_x000D_
Topics_x000D_
_x000D_
*	Database update schedule_x000D_
*	New staff contracts_x000D_
*	Review support contract_x000D_
*	Review progress calendar_x000D_
_x000D_
Regards,_x000D_
Hackdummy2</t>
  </si>
  <si>
    <t>Hi Sahil,_x000D_
_x000D_
_x000D_
For my health conditions which have been deteriorating and my undergoing treatment for the same, with due respect I would like to inform you that I would not be able to attend office for 5  days i.e. from 20/05/2019 to 25/05/2029  and will be on sick leave._x000D_
_x000D_
I have a very good record of attendance. I promise to complete my pending assigned work as soon as I rejoin. I am looking forward for your approval._x000D_
_x000D_
Yours obediently,_x000D_
_x000D_
HackDummy2</t>
  </si>
  <si>
    <t>Dear Sahil,_x000D_
_x000D_
I have completed the assigned task : NSG deployment plan  as per the discussion. Please find attached the document/report/zip fie/ data that is required. Please let me know if anything else is needed from my side._x000D_
_x000D_
_x000D_
_x000D_
_x000D_
Thanks and Regards_x000D_
_x000D_
Hackdummy2_x000D_
_x000D_</t>
  </si>
  <si>
    <t>Hi Sahil_x000D_
_x000D_
It was nice to meet you at. I loved learning more about {!Something discussed}. I’m really interested to hear more about your role as {!Job title} at {!Company}, as {!Reason why you’re interested}. If you have time in the coming weeks, let’s {!Follow up action}. I’m generally free on {!Days of the week}, if that works for you?_x000D_
_x000D_
Looking forward to keeping in touch!_x000D_
_x000D_
Regards,_x000D_
Hackdummy2</t>
  </si>
  <si>
    <t>2019, May 11, 13:11</t>
  </si>
  <si>
    <t>Dear Sahil,_x000D_
_x000D_
Thank you so very much for meeting with me yesterday regarding the project I am working on. Our process was nearing a stand-still as we struggled with the supply-chain issue. I really appreciate your assistance, and am looking forward to implementing many of your great suggestions to prevent this issue reoccurring in the future._x000D_
_x000D_
I'll be sure to send you a follow-up when this project is complete. Please let me know if and when I can return the favor._x000D_
_x000D_
Again, my sincere thanks for your invaluable assistance._x000D_
_x000D_
 _x000D_
_x000D_
Sincerely,_x000D_
_x000D_
UiPath Hackdummy1_x000D_
_x000D_
 _x000D_</t>
  </si>
  <si>
    <t>Sahil, _x000D_
_x000D_
Thank you very much for meeting with me yesterday regarding the project i am working on.  Our process was nearing a stand still as we struggle with the supply chain issue. _x000D_
_x000D_
I will be sure to send you a follow up when the project is complete. _x000D_
_x000D_
Agin my sincere thanks for your assistance. _x000D_
_x000D_
Regards, _x000D_
Subir</t>
  </si>
  <si>
    <t>2019, May 11, 12:55</t>
  </si>
  <si>
    <t>Hi friend,  _x000D_
_x000D_
_x000D_
Would you like to be one of the first people in the world to pick up the OnePlus 7 Pro? Join us at a OnePlus Community Pop-up for the chance to:  _x000D_
_x000D_
_x000D_
Experience and purchase the OnePlus 7 Pro  _x000D_
_x000D_
Catch up with the OnePlus team in person  _x000D_
_x000D_
Grab exclusive OnePlus gear and goodies  _x000D_
_x000D_
Meet fellow OnePlus fans  _x000D_
_x000D_
_x000D_
Check out our Community Pop-up page now to find your nearest event, and get ready to Go Beyond Speed.  _x000D_
_x000D_
_x000D_
_x000D_
Never Settle _x000D_
_x000D_
_x000D_
Get Outlook for Android &lt;https://aka.ms/ghei36&gt; _x000D_</t>
  </si>
  <si>
    <t>_x000D_
Dear Candidate,_x000D_
_x000D_
 _x000D_
_x000D_
       Send your resume !_x000D_
_x000D_
*         Dear Candidate,_x000D_
_x000D_
*         Greetings for the day!_x000D_
_x000D_
*         We are currently hiring for Sales manager &amp; Agency development manager position for across Karnataka Location._x000D_
_x000D_
 _x000D_
_x000D_
Position: Agency Development Manager &amp; Sales manager - Tied Agency Channel, Exide Life Insurance_x000D_
_x000D_
&gt;. Min Graduate with min 6 months of experience in sales._x000D_
&gt;. 30% hike on last salary guaranteed._x000D_
&gt;. Max Salary 2.5 to 5 Lacs._x000D_
&gt;. Required: 10+2+3 or graduates, localites, open to frontline sales._x000D_
_x000D_
Please find Job description for the position Agency Development Manager -:_x000D_
_x000D_
1. Building Agency - Identify and recruit potential advisors (Ex: House Wife, 1. Retired Person, Students, Any Family Members, Unemployed etc)._x000D_
2. Driving Sales - Achieve expected sales target on a consistent basis through own team of advisors._x000D_
3. Manage team performance and productivity - Continuously review performance and improve productivity of the team._x000D_
4. Leadership - Provide leadership and management to the team of Advisors._x000D_
5. Mentoring and Training - Provide training and monitor developmental needs of advisors in the team, provide feedback on advisors performance._x000D_
6. Involves attending sales calls (outside the office)._x000D_
_x000D_
_x000D_
- 30 percent hike on last salary._x000D_
- Maximum salary up to 4.0 LPA._x000D_
- Monthly Incentives, Abroad Trips, Gratuity, PF and lots of other benefits._x000D_
_x000D_
Eligibility: The only criteria is candidate genuinely willing to do sales _x000D_
_x000D_
Interested candidates please mail your resume toPraveen.c101408@exidelife.in &lt;mailto:Praveen.c101408@exidelife.in&gt;   on/be alternatively, you can reach me on Praveen Kumar M  9036733268. (9:30 AM to 6:00 PM)_x000D_
_x000D_
 _x000D_
_x000D_
Incase if you are not looking for a job Change. Please recommend someone else who is matching this Profile._x000D_
_x000D_
 _x000D_
_x000D_
 _x000D_
_x000D_
Thanks &amp; Regards,_x000D_
_x000D_
 _x000D_
_x000D_
Praveen Kumar M_x000D_
_x000D_
HR Associate - KKG_x000D_
_x000D_
_x000D_
_x000D_
Exide Life Insurance Company Limited_x000D_
_x000D_
Centenary Building, #28, 6th Floor, MG Road, Bengaluru – 560 001._x000D_
_x000D_
E  Praveen.c101408@exidelife.in &lt;mailto:Praveen.c101408@exidelife.in&gt; _x000D_
_x000D_
N 9036733268_x000D_
_x000D_
W exidelife.in &lt;http://exidelife.in/&gt; _x000D_
_x000D_
 _x000D_
_x000D_
 _x000D_
_x000D_
 _x000D_
_x000D_
 _x000D_
_x000D_
_x000D_
_x000D_
ATTENTION: The information in this email is confidential and may be legally privileged. It is intended solely for the intended recipient. Access to this email by anyone other than the intended recipient is unauthorized. In the event you have received this email by mistake you are requested to immediately inform Exide Life Insurance Company Limited of the same by forwarding this mail to system.administrator@exidelife.in &lt;mailto:system.administrator@exidelife.in&gt;  and thereafter you are required to delete it from your system permanently. If you are not the intended recipient, any disclosure, copying, distribution or any action taken or omitted to be taken in connection with it, is prohibited and unlawful. When addressed to our clients, any opinion or advice contained in this email is subject to the terms and conditions expressed in any applicable terms of business or client engagement letter issued by Exide Life Insurance Company Limited._x000D_
_x000D_
_x000D_
_x000D_</t>
  </si>
  <si>
    <t>2019, May 11, 12:29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</si>
</sst>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17" x14ac:knownFonts="1">
    <font>
      <sz val="11"/>
      <color theme="1"/>
      <name val="Calibri"/>
      <family val="2"/>
      <scheme val="minor"/>
    </font>
    <font>
      <sz val="12"/>
      <color theme="1"/>
      <name val="Arial"/>
    </font>
    <font>
      <b/>
      <sz val="22"/>
      <color theme="1"/>
      <name val="Arial"/>
    </font>
    <font>
      <b/>
      <sz val="14"/>
      <color theme="0"/>
      <name val="Arial"/>
    </font>
    <font>
      <sz val="11"/>
      <color theme="1"/>
      <name val="Arial"/>
    </font>
    <font>
      <shadow/>
      <sz val="12"/>
      <color theme="1"/>
      <name val="Arial"/>
    </font>
    <font>
      <b/>
      <sz val="16"/>
      <color theme="1"/>
      <name val="Arial"/>
      <family val="2"/>
    </font>
    <font>
      <sz val="16"/>
      <color theme="1" tint="0.249977111117893"/>
      <name val="Calibri"/>
      <family val="2"/>
      <scheme val="minor"/>
    </font>
    <font>
      <sz val="16"/>
      <color theme="1"/>
      <name val="Arial"/>
      <family val="2"/>
    </font>
    <font>
      <b/>
      <sz val="16"/>
      <color theme="0"/>
      <name val="Arial"/>
      <family val="2"/>
    </font>
    <font>
      <b/>
      <sz val="9"/>
      <color theme="1" tint="0.499984740745262"/>
      <name val="CALIBRI"/>
      <family val="2"/>
    </font>
    <font>
      <b/>
      <sz val="22"/>
      <color rgb="FF00B0F0"/>
      <name val="CALIBRI"/>
      <family val="2"/>
    </font>
    <font>
      <sz val="14"/>
      <color rgb="FF222222"/>
      <name val="Arial"/>
      <family val="2"/>
    </font>
    <font>
      <b/>
      <sz val="11"/>
      <color theme="0"/>
      <name val="Calibri"/>
      <family val="2"/>
      <scheme val="minor"/>
    </font>
    <font>
      <b/>
      <sz val="10"/>
      <color theme="2" tint="-0.499984740745262"/>
      <name val="Calibri"/>
      <family val="2"/>
      <scheme val="minor"/>
    </font>
    <font>
      <b/>
      <sz val="10"/>
      <color rgb="FF00B0F0"/>
      <name val="Calibri"/>
      <family val="2"/>
      <scheme val="minor"/>
    </font>
    <font>
      <sz val="10"/>
      <color theme="1"/>
      <name val="Arial"/>
      <family val="2"/>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s>
  <cellStyleXfs count="1">
    <xf numFmtId="0" fontId="0" fillId="0" borderId="0"/>
  </cellStyleXfs>
  <cellXfs count="42">
    <xf numFmtId="0" fontId="0" fillId="0" borderId="0" xfId="0"/>
    <xf numFmtId="0" fontId="7" fillId="3" borderId="0" xfId="0" applyFont="1" applyFill="1" applyBorder="1" applyAlignment="1">
      <alignment horizontal="left" vertical="center"/>
    </xf>
    <xf numFmtId="0" fontId="1" fillId="3" borderId="0" xfId="0" applyFont="1" applyFill="1"/>
    <xf numFmtId="0" fontId="4" fillId="3" borderId="0" xfId="0" applyFont="1" applyFill="1" applyAlignment="1">
      <alignment horizontal="center" vertical="center"/>
    </xf>
    <xf numFmtId="0" fontId="3" fillId="3" borderId="0" xfId="0" applyFont="1" applyFill="1" applyBorder="1" applyAlignment="1">
      <alignment horizontal="center" vertical="center"/>
    </xf>
    <xf numFmtId="0" fontId="3" fillId="3" borderId="0" xfId="0" applyFont="1" applyFill="1" applyBorder="1" applyAlignment="1">
      <alignment vertical="center"/>
    </xf>
    <xf numFmtId="0" fontId="5" fillId="3" borderId="0" xfId="0" applyFont="1" applyFill="1"/>
    <xf numFmtId="0" fontId="2" fillId="3" borderId="0" xfId="0" applyFont="1" applyFill="1" applyBorder="1" applyAlignment="1">
      <alignment vertical="center"/>
    </xf>
    <xf numFmtId="164" fontId="2" fillId="3" borderId="0" xfId="0" applyNumberFormat="1" applyFont="1" applyFill="1" applyBorder="1" applyAlignment="1">
      <alignment horizontal="center" vertical="center"/>
    </xf>
    <xf numFmtId="0" fontId="1" fillId="3" borderId="0" xfId="0" applyFont="1" applyFill="1" applyBorder="1"/>
    <xf numFmtId="0" fontId="4" fillId="3" borderId="0" xfId="0" applyFont="1" applyFill="1" applyBorder="1" applyAlignment="1">
      <alignment horizontal="center" vertical="center"/>
    </xf>
    <xf numFmtId="0" fontId="8" fillId="3" borderId="0" xfId="0" applyFont="1" applyFill="1"/>
    <xf numFmtId="0" fontId="6" fillId="3" borderId="0" xfId="0" applyFont="1" applyFill="1" applyBorder="1" applyAlignment="1">
      <alignment vertical="center"/>
    </xf>
    <xf numFmtId="164" fontId="6" fillId="3" borderId="0" xfId="0" applyNumberFormat="1" applyFont="1" applyFill="1" applyBorder="1" applyAlignment="1">
      <alignment horizontal="center" vertical="center"/>
    </xf>
    <xf numFmtId="0" fontId="8" fillId="3" borderId="0" xfId="0" applyFont="1" applyFill="1" applyBorder="1"/>
    <xf numFmtId="0" fontId="8" fillId="3" borderId="0" xfId="0" applyFont="1" applyFill="1" applyBorder="1" applyAlignment="1">
      <alignment horizontal="center" vertical="center"/>
    </xf>
    <xf numFmtId="0" fontId="9" fillId="3" borderId="0" xfId="0" applyFont="1" applyFill="1" applyBorder="1" applyAlignment="1">
      <alignment horizontal="center" vertical="center"/>
    </xf>
    <xf numFmtId="0" fontId="0" fillId="0" borderId="0" xfId="0"/>
    <xf numFmtId="0" fontId="9" fillId="3" borderId="0" xfId="0" applyFont="1" applyFill="1" applyBorder="1" applyAlignment="1">
      <alignment vertical="center" wrapText="1"/>
    </xf>
    <xf numFmtId="0" fontId="1" fillId="3" borderId="0" xfId="0" applyFont="1" applyFill="1" applyAlignment="1"/>
    <xf numFmtId="0" fontId="4" fillId="3" borderId="0" xfId="0" applyFont="1" applyFill="1" applyAlignment="1">
      <alignment horizontal="left" vertical="center"/>
    </xf>
    <xf numFmtId="0" fontId="0" fillId="4" borderId="2" xfId="0" applyFill="1" applyBorder="1"/>
    <xf numFmtId="0" fontId="0" fillId="4" borderId="3" xfId="0" applyFill="1" applyBorder="1"/>
    <xf numFmtId="0" fontId="0" fillId="4" borderId="4" xfId="0" applyFill="1" applyBorder="1"/>
    <xf numFmtId="0" fontId="0" fillId="4" borderId="1" xfId="0" applyFill="1" applyBorder="1"/>
    <xf numFmtId="0" fontId="0" fillId="4" borderId="5" xfId="0" applyFill="1" applyBorder="1"/>
    <xf numFmtId="0" fontId="13" fillId="5" borderId="0" xfId="0" applyFont="1" applyFill="1" applyAlignment="1">
      <alignment horizontal="center" vertical="center"/>
    </xf>
    <xf numFmtId="0" fontId="13" fillId="5" borderId="0" xfId="0" applyFont="1" applyFill="1" applyAlignment="1">
      <alignment horizontal="center" vertical="center" wrapText="1"/>
    </xf>
    <xf numFmtId="0" fontId="1" fillId="4" borderId="0" xfId="0" applyFont="1" applyFill="1"/>
    <xf numFmtId="0" fontId="4" fillId="4" borderId="0" xfId="0" applyFont="1" applyFill="1" applyAlignment="1">
      <alignment horizontal="center" vertical="center"/>
    </xf>
    <xf numFmtId="0" fontId="3" fillId="4" borderId="0" xfId="0" applyFont="1" applyFill="1" applyBorder="1" applyAlignment="1">
      <alignment vertical="center"/>
    </xf>
    <xf numFmtId="0" fontId="0" fillId="4" borderId="0" xfId="0" applyFill="1"/>
    <xf numFmtId="0" fontId="12" fillId="4" borderId="0" xfId="0" applyFont="1" applyFill="1"/>
    <xf numFmtId="0" fontId="14" fillId="2" borderId="0" xfId="0" applyFont="1" applyFill="1" applyBorder="1" applyAlignment="1">
      <alignment horizontal="right" vertical="center"/>
    </xf>
    <xf numFmtId="0" fontId="16" fillId="2" borderId="0" xfId="0" applyFont="1" applyFill="1" applyBorder="1"/>
    <xf numFmtId="0" fontId="16" fillId="2" borderId="0" xfId="0" applyFont="1" applyFill="1"/>
    <xf numFmtId="0" fontId="0" fillId="4" borderId="1" xfId="0" applyFill="1" applyBorder="1" applyAlignment="1">
      <alignment wrapText="1"/>
    </xf>
    <xf numFmtId="0" fontId="0" fillId="4" borderId="3" xfId="0" applyFill="1" applyBorder="1" applyAlignment="1"/>
    <xf numFmtId="164" fontId="15" fillId="2" borderId="0" xfId="0" applyNumberFormat="1" applyFont="1" applyFill="1" applyBorder="1" applyAlignment="1">
      <alignment horizontal="left" vertical="center"/>
    </xf>
    <xf numFmtId="0" fontId="10" fillId="2" borderId="0" xfId="0" applyFont="1" applyFill="1" applyBorder="1" applyAlignment="1" applyProtection="1">
      <alignment horizontal="center" vertical="center"/>
      <protection hidden="1"/>
    </xf>
    <xf numFmtId="0" fontId="11" fillId="2" borderId="0" xfId="0" applyFont="1" applyFill="1" applyBorder="1" applyAlignment="1" applyProtection="1">
      <alignment horizontal="center" vertical="center"/>
      <protection hidden="1"/>
    </xf>
    <xf numFmtId="0" fontId="11" fillId="2" borderId="0" xfId="0" applyNumberFormat="1" applyFont="1" applyFill="1" applyBorder="1" applyAlignment="1" applyProtection="1">
      <alignment horizontal="center" vertical="center"/>
      <protection hidden="1"/>
    </xf>
  </cellXfs>
  <cellStyles count="1">
    <cellStyle name="Normal" xfId="0" builtinId="0"/>
  </cellStyles>
  <dxfs count="0"/>
  <tableStyles count="0" defaultTableStyle="TableStyleMedium2" defaultPivotStyle="PivotStyleLight16"/>
  <colors>
    <mruColors>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00B0F0"/>
            </a:solidFill>
            <a:ln>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For_Dashboard!$A$1:$G$1</c:f>
              <c:strCache>
                <c:ptCount val="7"/>
                <c:pt idx="0">
                  <c:v>Mails from Colleugues</c:v>
                </c:pt>
                <c:pt idx="1">
                  <c:v>Mails from Juniors</c:v>
                </c:pt>
                <c:pt idx="2">
                  <c:v>Mails from Other Domains</c:v>
                </c:pt>
                <c:pt idx="3">
                  <c:v>Indirect Emails</c:v>
                </c:pt>
                <c:pt idx="4">
                  <c:v>Fresh Emails</c:v>
                </c:pt>
                <c:pt idx="5">
                  <c:v>Forwarded Emails</c:v>
                </c:pt>
                <c:pt idx="6">
                  <c:v>Replied Emails</c:v>
                </c:pt>
              </c:strCache>
            </c:strRef>
          </c:cat>
          <c:val>
            <c:numRef>
              <c:f>For_Dashboard!$A$2:$G$2</c:f>
              <c:numCache>
                <c:formatCode>General</c:formatCode>
                <c:ptCount val="7"/>
                <c:pt idx="0">
                  <c:v>1</c:v>
                </c:pt>
                <c:pt idx="1">
                  <c:v>11</c:v>
                </c:pt>
                <c:pt idx="2">
                  <c:v>3</c:v>
                </c:pt>
                <c:pt idx="3">
                  <c:v>16</c:v>
                </c:pt>
                <c:pt idx="4">
                  <c:v>17</c:v>
                </c:pt>
                <c:pt idx="5">
                  <c:v>3</c:v>
                </c:pt>
                <c:pt idx="6">
                  <c:v>2</c:v>
                </c:pt>
              </c:numCache>
            </c:numRef>
          </c:val>
        </c:ser>
        <c:dLbls>
          <c:dLblPos val="inEnd"/>
          <c:showLegendKey val="0"/>
          <c:showVal val="1"/>
          <c:showCatName val="0"/>
          <c:showSerName val="0"/>
          <c:showPercent val="0"/>
          <c:showBubbleSize val="0"/>
        </c:dLbls>
        <c:gapWidth val="115"/>
        <c:overlap val="-20"/>
        <c:axId val="462207720"/>
        <c:axId val="462203800"/>
      </c:barChart>
      <c:catAx>
        <c:axId val="46220772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203800"/>
        <c:crosses val="autoZero"/>
        <c:auto val="1"/>
        <c:lblAlgn val="ctr"/>
        <c:lblOffset val="100"/>
        <c:noMultiLvlLbl val="0"/>
      </c:catAx>
      <c:valAx>
        <c:axId val="462203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207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133349</xdr:colOff>
      <xdr:row>10</xdr:row>
      <xdr:rowOff>4762</xdr:rowOff>
    </xdr:from>
    <xdr:to>
      <xdr:col>14</xdr:col>
      <xdr:colOff>695325</xdr:colOff>
      <xdr:row>21</xdr:row>
      <xdr:rowOff>119062</xdr:rowOff>
    </xdr:to>
    <xdr:graphicFrame macro="">
      <xdr:nvGraphicFramePr>
        <xdr:cNvPr id="31" name="Chart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19050</xdr:rowOff>
    </xdr:from>
    <xdr:to>
      <xdr:col>2</xdr:col>
      <xdr:colOff>704850</xdr:colOff>
      <xdr:row>7</xdr:row>
      <xdr:rowOff>9525</xdr:rowOff>
    </xdr:to>
    <xdr:sp macro="[0]!Senior" textlink="">
      <xdr:nvSpPr>
        <xdr:cNvPr id="2" name="Rectangle 1"/>
        <xdr:cNvSpPr/>
      </xdr:nvSpPr>
      <xdr:spPr>
        <a:xfrm>
          <a:off x="142875" y="1371600"/>
          <a:ext cx="1419225" cy="2476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900" b="0">
              <a:solidFill>
                <a:schemeClr val="bg2">
                  <a:lumMod val="50000"/>
                </a:schemeClr>
              </a:solidFill>
            </a:rPr>
            <a:t>Mails from Seniors</a:t>
          </a:r>
        </a:p>
      </xdr:txBody>
    </xdr:sp>
    <xdr:clientData/>
  </xdr:twoCellAnchor>
  <xdr:twoCellAnchor>
    <xdr:from>
      <xdr:col>4</xdr:col>
      <xdr:colOff>28575</xdr:colOff>
      <xdr:row>6</xdr:row>
      <xdr:rowOff>19050</xdr:rowOff>
    </xdr:from>
    <xdr:to>
      <xdr:col>5</xdr:col>
      <xdr:colOff>342901</xdr:colOff>
      <xdr:row>7</xdr:row>
      <xdr:rowOff>9525</xdr:rowOff>
    </xdr:to>
    <xdr:sp macro="[0]!Sent_Me" textlink="">
      <xdr:nvSpPr>
        <xdr:cNvPr id="8" name="Rectangle 7"/>
        <xdr:cNvSpPr/>
      </xdr:nvSpPr>
      <xdr:spPr>
        <a:xfrm>
          <a:off x="1695450" y="1371600"/>
          <a:ext cx="1362076" cy="2476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900" b="0">
              <a:solidFill>
                <a:schemeClr val="bg2">
                  <a:lumMod val="50000"/>
                </a:schemeClr>
              </a:solidFill>
            </a:rPr>
            <a:t>Mails only sent to you</a:t>
          </a:r>
        </a:p>
      </xdr:txBody>
    </xdr:sp>
    <xdr:clientData/>
  </xdr:twoCellAnchor>
  <xdr:twoCellAnchor>
    <xdr:from>
      <xdr:col>7</xdr:col>
      <xdr:colOff>28576</xdr:colOff>
      <xdr:row>6</xdr:row>
      <xdr:rowOff>19050</xdr:rowOff>
    </xdr:from>
    <xdr:to>
      <xdr:col>8</xdr:col>
      <xdr:colOff>638175</xdr:colOff>
      <xdr:row>7</xdr:row>
      <xdr:rowOff>9525</xdr:rowOff>
    </xdr:to>
    <xdr:sp macro="[0]!Wait_Long" textlink="">
      <xdr:nvSpPr>
        <xdr:cNvPr id="9" name="Rectangle 8"/>
        <xdr:cNvSpPr/>
      </xdr:nvSpPr>
      <xdr:spPr>
        <a:xfrm>
          <a:off x="3238501" y="1371600"/>
          <a:ext cx="1323974" cy="2476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900">
              <a:solidFill>
                <a:schemeClr val="bg2">
                  <a:lumMod val="50000"/>
                </a:schemeClr>
              </a:solidFill>
            </a:rPr>
            <a:t>Mails waiting from long</a:t>
          </a:r>
        </a:p>
      </xdr:txBody>
    </xdr:sp>
    <xdr:clientData/>
  </xdr:twoCellAnchor>
  <xdr:twoCellAnchor>
    <xdr:from>
      <xdr:col>10</xdr:col>
      <xdr:colOff>28575</xdr:colOff>
      <xdr:row>6</xdr:row>
      <xdr:rowOff>9525</xdr:rowOff>
    </xdr:from>
    <xdr:to>
      <xdr:col>11</xdr:col>
      <xdr:colOff>676275</xdr:colOff>
      <xdr:row>7</xdr:row>
      <xdr:rowOff>0</xdr:rowOff>
    </xdr:to>
    <xdr:sp macro="[0]!Is_Negative" textlink="">
      <xdr:nvSpPr>
        <xdr:cNvPr id="10" name="Rectangle 9"/>
        <xdr:cNvSpPr/>
      </xdr:nvSpPr>
      <xdr:spPr>
        <a:xfrm>
          <a:off x="4762500" y="1362075"/>
          <a:ext cx="1362075" cy="2476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900">
              <a:solidFill>
                <a:schemeClr val="bg2">
                  <a:lumMod val="50000"/>
                </a:schemeClr>
              </a:solidFill>
            </a:rPr>
            <a:t>Mails seems</a:t>
          </a:r>
          <a:r>
            <a:rPr lang="en-US" sz="900" baseline="0">
              <a:solidFill>
                <a:schemeClr val="bg2">
                  <a:lumMod val="50000"/>
                </a:schemeClr>
              </a:solidFill>
            </a:rPr>
            <a:t> negative</a:t>
          </a:r>
          <a:endParaRPr lang="en-US" sz="900">
            <a:solidFill>
              <a:schemeClr val="bg2">
                <a:lumMod val="50000"/>
              </a:schemeClr>
            </a:solidFill>
          </a:endParaRPr>
        </a:p>
      </xdr:txBody>
    </xdr:sp>
    <xdr:clientData/>
  </xdr:twoCellAnchor>
  <xdr:twoCellAnchor>
    <xdr:from>
      <xdr:col>13</xdr:col>
      <xdr:colOff>28575</xdr:colOff>
      <xdr:row>6</xdr:row>
      <xdr:rowOff>19050</xdr:rowOff>
    </xdr:from>
    <xdr:to>
      <xdr:col>14</xdr:col>
      <xdr:colOff>704850</xdr:colOff>
      <xdr:row>7</xdr:row>
      <xdr:rowOff>9525</xdr:rowOff>
    </xdr:to>
    <xdr:sp macro="[0]!over_Priority" textlink="">
      <xdr:nvSpPr>
        <xdr:cNvPr id="11" name="Rectangle 10"/>
        <xdr:cNvSpPr/>
      </xdr:nvSpPr>
      <xdr:spPr>
        <a:xfrm>
          <a:off x="6276975" y="1371600"/>
          <a:ext cx="1390650" cy="24765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900">
              <a:solidFill>
                <a:schemeClr val="bg2">
                  <a:lumMod val="50000"/>
                </a:schemeClr>
              </a:solidFill>
            </a:rPr>
            <a:t>Mails</a:t>
          </a:r>
          <a:r>
            <a:rPr lang="en-US" sz="900" baseline="0">
              <a:solidFill>
                <a:schemeClr val="bg2">
                  <a:lumMod val="50000"/>
                </a:schemeClr>
              </a:solidFill>
            </a:rPr>
            <a:t> seems important</a:t>
          </a:r>
          <a:endParaRPr lang="en-US" sz="900">
            <a:solidFill>
              <a:schemeClr val="bg2">
                <a:lumMod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257175</xdr:colOff>
      <xdr:row>0</xdr:row>
      <xdr:rowOff>0</xdr:rowOff>
    </xdr:from>
    <xdr:to>
      <xdr:col>15</xdr:col>
      <xdr:colOff>333375</xdr:colOff>
      <xdr:row>6</xdr:row>
      <xdr:rowOff>60960</xdr:rowOff>
    </xdr:to>
    <xdr:pic macro="[0]!Go_Back">
      <xdr:nvPicPr>
        <xdr:cNvPr id="2"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81975"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190501</xdr:colOff>
      <xdr:row>1</xdr:row>
      <xdr:rowOff>19050</xdr:rowOff>
    </xdr:from>
    <xdr:to>
      <xdr:col>12</xdr:col>
      <xdr:colOff>372285</xdr:colOff>
      <xdr:row>1</xdr:row>
      <xdr:rowOff>180975</xdr:rowOff>
    </xdr:to>
    <xdr:pic macro="[0]!StartExeJ2">
      <xdr:nvPicPr>
        <xdr:cNvPr id="6" name="Picture 5"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05701" y="2095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200026</xdr:colOff>
      <xdr:row>2</xdr:row>
      <xdr:rowOff>19050</xdr:rowOff>
    </xdr:from>
    <xdr:to>
      <xdr:col>12</xdr:col>
      <xdr:colOff>381810</xdr:colOff>
      <xdr:row>2</xdr:row>
      <xdr:rowOff>180975</xdr:rowOff>
    </xdr:to>
    <xdr:pic macro="[0]!StartExeJ3">
      <xdr:nvPicPr>
        <xdr:cNvPr id="7" name="Picture 6"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15226" y="4000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200026</xdr:colOff>
      <xdr:row>3</xdr:row>
      <xdr:rowOff>19050</xdr:rowOff>
    </xdr:from>
    <xdr:to>
      <xdr:col>12</xdr:col>
      <xdr:colOff>381810</xdr:colOff>
      <xdr:row>3</xdr:row>
      <xdr:rowOff>180975</xdr:rowOff>
    </xdr:to>
    <xdr:pic macro="[0]!StartExeJ4">
      <xdr:nvPicPr>
        <xdr:cNvPr id="8" name="Picture 7"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15226" y="5905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200026</xdr:colOff>
      <xdr:row>4</xdr:row>
      <xdr:rowOff>19050</xdr:rowOff>
    </xdr:from>
    <xdr:to>
      <xdr:col>12</xdr:col>
      <xdr:colOff>381810</xdr:colOff>
      <xdr:row>4</xdr:row>
      <xdr:rowOff>180975</xdr:rowOff>
    </xdr:to>
    <xdr:pic macro="[0]!StartExeJ5">
      <xdr:nvPicPr>
        <xdr:cNvPr id="9" name="Picture 8"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15226" y="7810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5</xdr:row>
      <xdr:rowOff>19050</xdr:rowOff>
    </xdr:from>
    <xdr:to>
      <xdr:col>12</xdr:col>
      <xdr:colOff>391335</xdr:colOff>
      <xdr:row>5</xdr:row>
      <xdr:rowOff>180975</xdr:rowOff>
    </xdr:to>
    <xdr:pic macro="[0]!StartExeJ6">
      <xdr:nvPicPr>
        <xdr:cNvPr id="10" name="Picture 9"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9715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6</xdr:row>
      <xdr:rowOff>19050</xdr:rowOff>
    </xdr:from>
    <xdr:to>
      <xdr:col>12</xdr:col>
      <xdr:colOff>391335</xdr:colOff>
      <xdr:row>6</xdr:row>
      <xdr:rowOff>180975</xdr:rowOff>
    </xdr:to>
    <xdr:pic macro="[0]!StartExeJ7">
      <xdr:nvPicPr>
        <xdr:cNvPr id="11" name="Picture 10"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11620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7</xdr:row>
      <xdr:rowOff>9525</xdr:rowOff>
    </xdr:from>
    <xdr:to>
      <xdr:col>12</xdr:col>
      <xdr:colOff>391335</xdr:colOff>
      <xdr:row>7</xdr:row>
      <xdr:rowOff>171450</xdr:rowOff>
    </xdr:to>
    <xdr:pic macro="[0]!StartExeJ8">
      <xdr:nvPicPr>
        <xdr:cNvPr id="12" name="Picture 11"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134302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8</xdr:row>
      <xdr:rowOff>19050</xdr:rowOff>
    </xdr:from>
    <xdr:to>
      <xdr:col>12</xdr:col>
      <xdr:colOff>391335</xdr:colOff>
      <xdr:row>8</xdr:row>
      <xdr:rowOff>180975</xdr:rowOff>
    </xdr:to>
    <xdr:pic macro="[0]!StartExeJ9">
      <xdr:nvPicPr>
        <xdr:cNvPr id="14" name="Picture 13"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15430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9</xdr:row>
      <xdr:rowOff>9525</xdr:rowOff>
    </xdr:from>
    <xdr:to>
      <xdr:col>12</xdr:col>
      <xdr:colOff>391335</xdr:colOff>
      <xdr:row>9</xdr:row>
      <xdr:rowOff>171450</xdr:rowOff>
    </xdr:to>
    <xdr:pic macro="[0]!StartExeJ10">
      <xdr:nvPicPr>
        <xdr:cNvPr id="15" name="Picture 14"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172402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10</xdr:row>
      <xdr:rowOff>9525</xdr:rowOff>
    </xdr:from>
    <xdr:to>
      <xdr:col>12</xdr:col>
      <xdr:colOff>391335</xdr:colOff>
      <xdr:row>10</xdr:row>
      <xdr:rowOff>171450</xdr:rowOff>
    </xdr:to>
    <xdr:pic macro="[0]!StartExeJ11">
      <xdr:nvPicPr>
        <xdr:cNvPr id="16" name="Picture 15"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191452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11</xdr:row>
      <xdr:rowOff>9525</xdr:rowOff>
    </xdr:from>
    <xdr:to>
      <xdr:col>12</xdr:col>
      <xdr:colOff>391335</xdr:colOff>
      <xdr:row>11</xdr:row>
      <xdr:rowOff>171450</xdr:rowOff>
    </xdr:to>
    <xdr:pic macro="[0]!StartExeJ12">
      <xdr:nvPicPr>
        <xdr:cNvPr id="17" name="Picture 16"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210502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12</xdr:row>
      <xdr:rowOff>19050</xdr:rowOff>
    </xdr:from>
    <xdr:to>
      <xdr:col>12</xdr:col>
      <xdr:colOff>391335</xdr:colOff>
      <xdr:row>12</xdr:row>
      <xdr:rowOff>180975</xdr:rowOff>
    </xdr:to>
    <xdr:pic macro="[0]!StartExeJ13">
      <xdr:nvPicPr>
        <xdr:cNvPr id="18" name="Picture 17"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23050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13</xdr:row>
      <xdr:rowOff>0</xdr:rowOff>
    </xdr:from>
    <xdr:to>
      <xdr:col>12</xdr:col>
      <xdr:colOff>391335</xdr:colOff>
      <xdr:row>13</xdr:row>
      <xdr:rowOff>161925</xdr:rowOff>
    </xdr:to>
    <xdr:pic macro="[0]!StartExeJ14">
      <xdr:nvPicPr>
        <xdr:cNvPr id="19" name="Picture 18"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251460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14</xdr:row>
      <xdr:rowOff>9525</xdr:rowOff>
    </xdr:from>
    <xdr:to>
      <xdr:col>12</xdr:col>
      <xdr:colOff>391335</xdr:colOff>
      <xdr:row>14</xdr:row>
      <xdr:rowOff>171450</xdr:rowOff>
    </xdr:to>
    <xdr:pic macro="[0]!StartExeJ15">
      <xdr:nvPicPr>
        <xdr:cNvPr id="20" name="Picture 19"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24751" y="271462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15</xdr:row>
      <xdr:rowOff>28575</xdr:rowOff>
    </xdr:from>
    <xdr:to>
      <xdr:col>12</xdr:col>
      <xdr:colOff>391335</xdr:colOff>
      <xdr:row>15</xdr:row>
      <xdr:rowOff>182880</xdr:rowOff>
    </xdr:to>
    <xdr:pic macro="[0]!StartExeJ16">
      <xdr:nvPicPr>
        <xdr:cNvPr id="21" name="Picture 20"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24751" y="29241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209551</xdr:colOff>
      <xdr:row>16</xdr:row>
      <xdr:rowOff>28575</xdr:rowOff>
    </xdr:from>
    <xdr:to>
      <xdr:col>12</xdr:col>
      <xdr:colOff>391335</xdr:colOff>
      <xdr:row>16</xdr:row>
      <xdr:rowOff>182880</xdr:rowOff>
    </xdr:to>
    <xdr:pic macro="[0]!StartExeJ17">
      <xdr:nvPicPr>
        <xdr:cNvPr id="22" name="Picture 21"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24751" y="31146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219076</xdr:colOff>
      <xdr:row>17</xdr:row>
      <xdr:rowOff>28575</xdr:rowOff>
    </xdr:from>
    <xdr:to>
      <xdr:col>12</xdr:col>
      <xdr:colOff>400860</xdr:colOff>
      <xdr:row>17</xdr:row>
      <xdr:rowOff>182880</xdr:rowOff>
    </xdr:to>
    <xdr:pic macro="[0]!StartExeJ18">
      <xdr:nvPicPr>
        <xdr:cNvPr id="23" name="Picture 22"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34276" y="33051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219076</xdr:colOff>
      <xdr:row>18</xdr:row>
      <xdr:rowOff>28575</xdr:rowOff>
    </xdr:from>
    <xdr:to>
      <xdr:col>12</xdr:col>
      <xdr:colOff>400860</xdr:colOff>
      <xdr:row>18</xdr:row>
      <xdr:rowOff>182880</xdr:rowOff>
    </xdr:to>
    <xdr:pic macro="[0]!StartExeJ19">
      <xdr:nvPicPr>
        <xdr:cNvPr id="24" name="Picture 23"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34276" y="34956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228601</xdr:colOff>
      <xdr:row>19</xdr:row>
      <xdr:rowOff>28575</xdr:rowOff>
    </xdr:from>
    <xdr:to>
      <xdr:col>12</xdr:col>
      <xdr:colOff>410385</xdr:colOff>
      <xdr:row>19</xdr:row>
      <xdr:rowOff>182880</xdr:rowOff>
    </xdr:to>
    <xdr:pic macro="[0]!StartExeJ20">
      <xdr:nvPicPr>
        <xdr:cNvPr id="25" name="Picture 24"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43801" y="36861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228601</xdr:colOff>
      <xdr:row>20</xdr:row>
      <xdr:rowOff>28575</xdr:rowOff>
    </xdr:from>
    <xdr:to>
      <xdr:col>12</xdr:col>
      <xdr:colOff>410385</xdr:colOff>
      <xdr:row>20</xdr:row>
      <xdr:rowOff>182880</xdr:rowOff>
    </xdr:to>
    <xdr:pic macro="[0]!StartExeJ21">
      <xdr:nvPicPr>
        <xdr:cNvPr id="26" name="Picture 25"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43801" y="38766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228601</xdr:colOff>
      <xdr:row>21</xdr:row>
      <xdr:rowOff>19050</xdr:rowOff>
    </xdr:from>
    <xdr:to>
      <xdr:col>12</xdr:col>
      <xdr:colOff>410385</xdr:colOff>
      <xdr:row>21</xdr:row>
      <xdr:rowOff>180975</xdr:rowOff>
    </xdr:to>
    <xdr:pic macro="[0]!StartExeJ22">
      <xdr:nvPicPr>
        <xdr:cNvPr id="27" name="Picture 26" descr="Image result for play button"/>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543801" y="4057650"/>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228601</xdr:colOff>
      <xdr:row>22</xdr:row>
      <xdr:rowOff>28575</xdr:rowOff>
    </xdr:from>
    <xdr:to>
      <xdr:col>12</xdr:col>
      <xdr:colOff>410385</xdr:colOff>
      <xdr:row>22</xdr:row>
      <xdr:rowOff>182880</xdr:rowOff>
    </xdr:to>
    <xdr:pic macro="[0]!StartExeJ23">
      <xdr:nvPicPr>
        <xdr:cNvPr id="28" name="Picture 27" descr="Image result for play button"/>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543801" y="4257675"/>
          <a:ext cx="181784"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14</xdr:col>
      <xdr:colOff>76200</xdr:colOff>
      <xdr:row>6</xdr:row>
      <xdr:rowOff>152400</xdr:rowOff>
    </xdr:to>
    <xdr:pic macro="[0]!Go_Back">
      <xdr:nvPicPr>
        <xdr:cNvPr id="3"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533400</xdr:colOff>
      <xdr:row>0</xdr:row>
      <xdr:rowOff>0</xdr:rowOff>
    </xdr:from>
    <xdr:to>
      <xdr:col>14</xdr:col>
      <xdr:colOff>0</xdr:colOff>
      <xdr:row>13</xdr:row>
      <xdr:rowOff>7620</xdr:rowOff>
    </xdr:to>
    <xdr:pic macro="[0]!Go_Back">
      <xdr:nvPicPr>
        <xdr:cNvPr id="2"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0"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14</xdr:col>
      <xdr:colOff>76200</xdr:colOff>
      <xdr:row>6</xdr:row>
      <xdr:rowOff>137160</xdr:rowOff>
    </xdr:to>
    <xdr:pic macro="[0]!Go_Back">
      <xdr:nvPicPr>
        <xdr:cNvPr id="2"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14</xdr:col>
      <xdr:colOff>76200</xdr:colOff>
      <xdr:row>6</xdr:row>
      <xdr:rowOff>137160</xdr:rowOff>
    </xdr:to>
    <xdr:pic macro="[0]!Go_Back">
      <xdr:nvPicPr>
        <xdr:cNvPr id="3"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14</xdr:col>
      <xdr:colOff>76200</xdr:colOff>
      <xdr:row>2</xdr:row>
      <xdr:rowOff>1066800</xdr:rowOff>
    </xdr:to>
    <xdr:pic macro="[0]!Go_Back">
      <xdr:nvPicPr>
        <xdr:cNvPr id="2"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0</xdr:row>
      <xdr:rowOff>0</xdr:rowOff>
    </xdr:from>
    <xdr:to>
      <xdr:col>14</xdr:col>
      <xdr:colOff>76200</xdr:colOff>
      <xdr:row>24</xdr:row>
      <xdr:rowOff>137160</xdr:rowOff>
    </xdr:to>
    <xdr:pic macro="[0]!Go_Back">
      <xdr:nvPicPr>
        <xdr:cNvPr id="2" name="irc_mi" descr="http://chittagongit.com/download/418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5200" y="0"/>
          <a:ext cx="1295400" cy="1295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mailto:Sahilkalra1993@outlook.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customProperty" Target="../customProperty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7"/>
  <sheetViews>
    <sheetView showGridLines="0" showRuler="0" topLeftCell="A4" zoomScaleNormal="100" workbookViewId="0">
      <selection activeCell="B1" sqref="B1"/>
    </sheetView>
  </sheetViews>
  <sheetFormatPr defaultColWidth="10.6640625" defaultRowHeight="15" x14ac:dyDescent="0.25"/>
  <cols>
    <col min="1" max="1" width="2.109375" style="2" customWidth="1"/>
    <col min="2" max="3" width="10.6640625" style="2"/>
    <col min="4" max="4" width="1.44140625" style="2" customWidth="1"/>
    <col min="5" max="5" width="15.6640625" style="2" customWidth="1"/>
    <col min="6" max="6" width="5.6640625" style="2" customWidth="1"/>
    <col min="7" max="7" width="1.6640625" style="2" customWidth="1"/>
    <col min="8" max="9" width="10.6640625" style="2" customWidth="1"/>
    <col min="10" max="10" width="1.44140625" style="2" customWidth="1"/>
    <col min="11" max="12" width="10.6640625" style="2"/>
    <col min="13" max="13" width="1.33203125" style="2" customWidth="1"/>
    <col min="14" max="16384" width="10.6640625" style="2"/>
  </cols>
  <sheetData>
    <row r="1" spans="1:24" ht="11.25" customHeight="1" x14ac:dyDescent="0.25">
      <c r="A1" s="1"/>
      <c r="B1" s="1"/>
      <c r="C1" s="1"/>
      <c r="D1" s="1"/>
      <c r="E1" s="1"/>
      <c r="F1" s="1"/>
      <c r="G1" s="1"/>
      <c r="H1" s="1"/>
      <c r="I1" s="1"/>
      <c r="J1" s="1"/>
      <c r="K1" s="1"/>
      <c r="L1" s="1"/>
      <c r="M1" s="1"/>
      <c r="N1" s="1"/>
    </row>
    <row r="2" spans="1:24" ht="21" customHeight="1" x14ac:dyDescent="0.25">
      <c r="A2" s="9"/>
      <c r="B2" s="33" t="s">
        <v>113</v>
      </c>
      <c r="C2" s="38" t="s">
        <v>114</v>
      </c>
      <c r="D2" s="38"/>
      <c r="E2" s="38"/>
      <c r="F2" s="38"/>
      <c r="G2" s="34"/>
      <c r="H2" s="35"/>
      <c r="I2" s="35"/>
      <c r="J2" s="35"/>
      <c r="K2" s="33" t="s">
        <v>0</v>
      </c>
      <c r="L2" s="38">
        <f ca="1">TODAY()</f>
        <v>43597</v>
      </c>
      <c r="M2" s="38"/>
      <c r="N2" s="38"/>
      <c r="O2" s="38"/>
    </row>
    <row r="3" spans="1:24" ht="3.75" customHeight="1" x14ac:dyDescent="0.25">
      <c r="A3" s="1"/>
      <c r="B3" s="9"/>
      <c r="C3" s="9"/>
      <c r="D3" s="7"/>
      <c r="E3" s="8"/>
      <c r="F3" s="8"/>
      <c r="G3" s="8"/>
      <c r="H3" s="8"/>
      <c r="I3" s="9"/>
      <c r="J3" s="9"/>
      <c r="K3" s="9"/>
      <c r="L3" s="9"/>
    </row>
    <row r="4" spans="1:24" ht="20.25" customHeight="1" x14ac:dyDescent="0.25">
      <c r="A4" s="9"/>
      <c r="B4" s="39" t="s">
        <v>2</v>
      </c>
      <c r="C4" s="39"/>
      <c r="D4" s="39"/>
      <c r="E4" s="39"/>
      <c r="F4" s="39"/>
      <c r="G4" s="19"/>
      <c r="H4" s="39" t="s">
        <v>1</v>
      </c>
      <c r="I4" s="39"/>
      <c r="J4" s="39"/>
      <c r="K4" s="39"/>
      <c r="L4" s="39"/>
      <c r="M4" s="39"/>
      <c r="N4" s="39"/>
      <c r="O4" s="39"/>
    </row>
    <row r="5" spans="1:24" ht="42" customHeight="1" x14ac:dyDescent="0.25">
      <c r="A5" s="9"/>
      <c r="B5" s="40">
        <f>COUNTA(DesignationSorted!D:D)-1</f>
        <v>22</v>
      </c>
      <c r="C5" s="40"/>
      <c r="D5" s="40"/>
      <c r="E5" s="40"/>
      <c r="F5" s="40"/>
      <c r="G5" s="19"/>
      <c r="H5" s="40">
        <f>SUM(DesignationSorted!I:I)</f>
        <v>9</v>
      </c>
      <c r="I5" s="40"/>
      <c r="J5" s="40"/>
      <c r="K5" s="40"/>
      <c r="L5" s="40"/>
      <c r="M5" s="40"/>
      <c r="N5" s="40"/>
      <c r="O5" s="40"/>
    </row>
    <row r="6" spans="1:24" ht="8.25" customHeight="1" x14ac:dyDescent="0.35">
      <c r="A6" s="9"/>
      <c r="B6" s="18"/>
      <c r="C6" s="18"/>
      <c r="D6" s="18"/>
      <c r="E6" s="18"/>
      <c r="F6" s="18"/>
      <c r="G6" s="14"/>
      <c r="H6" s="15"/>
      <c r="I6" s="15"/>
      <c r="J6" s="15"/>
      <c r="K6" s="15"/>
      <c r="L6" s="15"/>
      <c r="M6" s="3"/>
      <c r="N6" s="3"/>
      <c r="O6" s="3"/>
      <c r="P6" s="3"/>
      <c r="Q6" s="3"/>
      <c r="R6" s="3"/>
      <c r="S6" s="3"/>
      <c r="T6" s="3"/>
      <c r="U6" s="3"/>
      <c r="V6" s="3"/>
      <c r="W6" s="3"/>
      <c r="X6" s="3"/>
    </row>
    <row r="7" spans="1:24" ht="21" x14ac:dyDescent="0.35">
      <c r="A7" s="9"/>
      <c r="B7" s="39" t="s">
        <v>59</v>
      </c>
      <c r="C7" s="39"/>
      <c r="D7" s="18"/>
      <c r="E7" s="39" t="s">
        <v>58</v>
      </c>
      <c r="F7" s="39"/>
      <c r="G7" s="14"/>
      <c r="H7" s="39" t="s">
        <v>60</v>
      </c>
      <c r="I7" s="39"/>
      <c r="J7" s="16"/>
      <c r="K7" s="39" t="s">
        <v>69</v>
      </c>
      <c r="L7" s="39"/>
      <c r="M7" s="4"/>
      <c r="N7" s="39" t="s">
        <v>61</v>
      </c>
      <c r="O7" s="39"/>
      <c r="P7" s="5"/>
      <c r="Q7" s="4"/>
      <c r="R7" s="4"/>
      <c r="S7" s="4"/>
      <c r="T7" s="4"/>
      <c r="U7" s="4"/>
      <c r="V7" s="4"/>
      <c r="W7" s="4"/>
      <c r="X7" s="4"/>
    </row>
    <row r="8" spans="1:24" s="3" customFormat="1" ht="20.25" customHeight="1" x14ac:dyDescent="0.25">
      <c r="A8" s="10"/>
      <c r="B8" s="41">
        <f>COUNTIF(DesignationSorted!$J:$J,"Senior")</f>
        <v>7</v>
      </c>
      <c r="C8" s="41"/>
      <c r="D8" s="15"/>
      <c r="E8" s="41">
        <f>COUNTIF(addressedToYou!$J:$J,"YES")</f>
        <v>6</v>
      </c>
      <c r="F8" s="41"/>
      <c r="G8" s="15"/>
      <c r="H8" s="41">
        <f>COUNTIF(TimeSorted!K:K,"YES")</f>
        <v>19</v>
      </c>
      <c r="I8" s="41"/>
      <c r="J8" s="15"/>
      <c r="K8" s="41">
        <f>COUNTIF(isNegativeContext!J:J,"Yes")</f>
        <v>3</v>
      </c>
      <c r="L8" s="41"/>
      <c r="N8" s="41">
        <f>COUNTIF(overallPriority!J:J,"&gt;=6")</f>
        <v>4</v>
      </c>
      <c r="O8" s="41"/>
      <c r="P8" s="2"/>
      <c r="R8" s="20"/>
    </row>
    <row r="9" spans="1:24" ht="20.25" customHeight="1" x14ac:dyDescent="0.25">
      <c r="A9" s="9"/>
      <c r="B9" s="41"/>
      <c r="C9" s="41"/>
      <c r="D9" s="15"/>
      <c r="E9" s="41"/>
      <c r="F9" s="41"/>
      <c r="G9" s="15"/>
      <c r="H9" s="41"/>
      <c r="I9" s="41"/>
      <c r="J9" s="15"/>
      <c r="K9" s="41"/>
      <c r="L9" s="41"/>
      <c r="M9" s="3"/>
      <c r="N9" s="41"/>
      <c r="O9" s="41"/>
    </row>
    <row r="10" spans="1:24" ht="9" customHeight="1" x14ac:dyDescent="0.35">
      <c r="A10" s="9"/>
      <c r="B10" s="14"/>
      <c r="C10" s="14"/>
      <c r="D10" s="14"/>
      <c r="E10" s="14"/>
      <c r="F10" s="14"/>
      <c r="G10" s="14"/>
      <c r="H10" s="14"/>
      <c r="I10" s="14"/>
      <c r="J10" s="14"/>
      <c r="K10" s="14"/>
      <c r="L10" s="14"/>
    </row>
    <row r="11" spans="1:24" ht="20.399999999999999" x14ac:dyDescent="0.35">
      <c r="B11" s="11"/>
      <c r="C11" s="11"/>
      <c r="D11" s="11"/>
      <c r="E11" s="11"/>
      <c r="F11" s="11"/>
      <c r="G11" s="11"/>
      <c r="H11" s="11"/>
      <c r="I11" s="11"/>
      <c r="J11" s="11"/>
      <c r="K11" s="11"/>
      <c r="L11" s="11"/>
    </row>
    <row r="12" spans="1:24" ht="20.399999999999999" x14ac:dyDescent="0.35">
      <c r="L12" s="11"/>
    </row>
    <row r="13" spans="1:24" ht="20.399999999999999" x14ac:dyDescent="0.35">
      <c r="L13" s="11"/>
    </row>
    <row r="14" spans="1:24" ht="20.399999999999999" x14ac:dyDescent="0.35">
      <c r="L14" s="11"/>
    </row>
    <row r="15" spans="1:24" ht="20.399999999999999" x14ac:dyDescent="0.35">
      <c r="L15" s="11"/>
    </row>
    <row r="16" spans="1:24" ht="20.399999999999999" x14ac:dyDescent="0.35">
      <c r="L16" s="11"/>
    </row>
    <row r="22" spans="2:23" ht="17.25" customHeight="1" x14ac:dyDescent="0.25"/>
    <row r="23" spans="2:23" ht="21" x14ac:dyDescent="0.35">
      <c r="B23" s="12"/>
      <c r="C23" s="12"/>
      <c r="D23" s="12"/>
      <c r="E23" s="13"/>
      <c r="F23" s="9"/>
      <c r="G23" s="19"/>
      <c r="H23" s="14"/>
      <c r="I23" s="9"/>
      <c r="J23" s="9"/>
      <c r="K23" s="14"/>
    </row>
    <row r="24" spans="2:23" x14ac:dyDescent="0.25">
      <c r="B24" s="9"/>
      <c r="C24" s="9"/>
      <c r="D24" s="9"/>
      <c r="E24" s="9"/>
      <c r="F24" s="9"/>
      <c r="G24" s="9"/>
      <c r="H24" s="9"/>
      <c r="I24" s="9"/>
      <c r="J24" s="9"/>
      <c r="K24" s="9"/>
    </row>
    <row r="25" spans="2:23" x14ac:dyDescent="0.25">
      <c r="B25" s="9"/>
      <c r="C25" s="9"/>
      <c r="D25" s="9"/>
      <c r="E25" s="9"/>
      <c r="F25" s="9"/>
      <c r="G25" s="9"/>
      <c r="H25" s="9"/>
      <c r="I25" s="9"/>
      <c r="J25" s="9"/>
      <c r="K25" s="9"/>
      <c r="W25" s="6"/>
    </row>
    <row r="26" spans="2:23" x14ac:dyDescent="0.25">
      <c r="B26" s="9"/>
      <c r="C26" s="9"/>
      <c r="D26" s="9"/>
      <c r="E26" s="9"/>
      <c r="F26" s="9"/>
      <c r="G26" s="9"/>
      <c r="H26" s="9"/>
      <c r="I26" s="9"/>
      <c r="J26" s="9"/>
      <c r="K26" s="9"/>
    </row>
    <row r="27" spans="2:23" x14ac:dyDescent="0.25">
      <c r="B27" s="9"/>
      <c r="C27" s="9"/>
      <c r="D27" s="9"/>
      <c r="E27" s="9"/>
      <c r="F27" s="9"/>
      <c r="G27" s="9"/>
      <c r="H27" s="9"/>
      <c r="I27" s="9"/>
      <c r="J27" s="9"/>
      <c r="K27" s="9"/>
    </row>
  </sheetData>
  <mergeCells count="16">
    <mergeCell ref="B7:C7"/>
    <mergeCell ref="B8:C9"/>
    <mergeCell ref="E7:F7"/>
    <mergeCell ref="E8:F9"/>
    <mergeCell ref="H7:I7"/>
    <mergeCell ref="N7:O7"/>
    <mergeCell ref="N8:O9"/>
    <mergeCell ref="H8:I9"/>
    <mergeCell ref="K7:L7"/>
    <mergeCell ref="K8:L9"/>
    <mergeCell ref="L2:O2"/>
    <mergeCell ref="B4:F4"/>
    <mergeCell ref="B5:F5"/>
    <mergeCell ref="H4:O4"/>
    <mergeCell ref="H5:O5"/>
    <mergeCell ref="C2:F2"/>
  </mergeCells>
  <hyperlinks>
    <hyperlink ref="C2" r:id="rId1"/>
  </hyperlinks>
  <pageMargins left="0.7" right="0.7" top="0.75" bottom="0.75" header="0.3" footer="0.3"/>
  <pageSetup orientation="portrait" r:id="rId2"/>
  <customProperties>
    <customPr name="KSheetIndex" r:id="rId3"/>
  </customPropertie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84"/>
  <sheetViews>
    <sheetView tabSelected="1" workbookViewId="0">
      <selection activeCell="H12" sqref="H12"/>
    </sheetView>
  </sheetViews>
  <sheetFormatPr defaultColWidth="9.109375" defaultRowHeight="15.6" x14ac:dyDescent="0.3"/>
  <cols>
    <col min="1" max="1" width="27" style="17" customWidth="1"/>
    <col min="2" max="3" width="0" style="17" hidden="1" customWidth="1"/>
    <col min="4" max="4" width="31.88671875" style="17" customWidth="1"/>
    <col min="5" max="5" width="25.21875" style="17" customWidth="1"/>
    <col min="6" max="6" width="54.77734375" style="17" customWidth="1"/>
    <col min="7" max="7" width="0" style="17" hidden="1" customWidth="1"/>
    <col min="8" max="8" width="18.77734375" style="17" customWidth="1"/>
    <col min="9" max="9" width="13.21875" style="17" customWidth="1"/>
    <col min="10" max="10" width="9.109375" style="17" hidden="1" customWidth="1"/>
    <col min="11" max="11" width="0" style="17" hidden="1" customWidth="1"/>
    <col min="12" max="12" width="11.44140625" style="17" bestFit="1" customWidth="1"/>
    <col min="13" max="13" width="9.109375" style="28"/>
    <col min="14" max="22" width="9.109375" style="31"/>
    <col min="23" max="16384" width="9.109375" style="17"/>
  </cols>
  <sheetData>
    <row r="1" spans="1:17" ht="16.2" thickBot="1" x14ac:dyDescent="0.35">
      <c r="A1" s="26" t="s">
        <v>3</v>
      </c>
      <c r="B1" s="26" t="s">
        <v>4</v>
      </c>
      <c r="C1" s="26" t="s">
        <v>5</v>
      </c>
      <c r="D1" s="26" t="s">
        <v>6</v>
      </c>
      <c r="E1" s="26" t="s">
        <v>7</v>
      </c>
      <c r="F1" s="26" t="s">
        <v>8</v>
      </c>
      <c r="G1" s="26" t="s">
        <v>99</v>
      </c>
      <c r="H1" s="26" t="s">
        <v>110</v>
      </c>
      <c r="I1" s="26" t="s">
        <v>9</v>
      </c>
      <c r="J1" s="26" t="s">
        <v>79</v>
      </c>
      <c r="K1" s="26"/>
      <c r="L1" s="26" t="s">
        <v>111</v>
      </c>
    </row>
    <row r="2" spans="1:17" ht="16.2" thickTop="1" x14ac:dyDescent="0.3">
      <c r="A2" s="21" t="s">
        <v>10</v>
      </c>
      <c r="B2" s="22" t="s">
        <v>10</v>
      </c>
      <c r="C2" s="22"/>
      <c r="D2" s="22" t="s">
        <v>11</v>
      </c>
      <c r="E2" s="22" t="s">
        <v>104</v>
      </c>
      <c r="F2" s="37" t="s">
        <v>115</v>
      </c>
      <c r="G2" s="22">
        <v>0</v>
      </c>
      <c r="H2" s="22" t="s">
        <v>105</v>
      </c>
      <c r="I2" s="22">
        <v>0</v>
      </c>
      <c r="J2" s="22" t="s">
        <v>80</v>
      </c>
      <c r="K2" s="22"/>
      <c r="L2" s="25" t="s">
        <v>72</v>
      </c>
    </row>
    <row r="3" spans="1:17" x14ac:dyDescent="0.3">
      <c r="A3" s="23" t="s">
        <v>10</v>
      </c>
      <c r="B3" s="24" t="s">
        <v>10</v>
      </c>
      <c r="C3" s="24"/>
      <c r="D3" s="24" t="s">
        <v>11</v>
      </c>
      <c r="E3" s="24" t="s">
        <v>102</v>
      </c>
      <c r="F3" s="24" t="s">
        <v>116</v>
      </c>
      <c r="G3" s="24">
        <v>0</v>
      </c>
      <c r="H3" s="24" t="s">
        <v>103</v>
      </c>
      <c r="I3" s="24">
        <v>0</v>
      </c>
      <c r="J3" s="24" t="s">
        <v>112</v>
      </c>
      <c r="K3" s="24"/>
      <c r="L3" s="25" t="s">
        <v>72</v>
      </c>
    </row>
    <row r="4" spans="1:17" x14ac:dyDescent="0.3">
      <c r="A4" s="23" t="s">
        <v>10</v>
      </c>
      <c r="B4" s="24" t="s">
        <v>10</v>
      </c>
      <c r="C4" s="24"/>
      <c r="D4" s="24" t="s">
        <v>11</v>
      </c>
      <c r="E4" s="24" t="s">
        <v>101</v>
      </c>
      <c r="F4" s="24" t="s">
        <v>117</v>
      </c>
      <c r="G4" s="24">
        <v>0</v>
      </c>
      <c r="H4" s="24" t="s">
        <v>118</v>
      </c>
      <c r="I4" s="24">
        <v>0</v>
      </c>
      <c r="J4" s="24" t="s">
        <v>81</v>
      </c>
      <c r="K4" s="24"/>
      <c r="L4" s="25" t="s">
        <v>74</v>
      </c>
    </row>
    <row r="5" spans="1:17" x14ac:dyDescent="0.3">
      <c r="A5" s="23" t="s">
        <v>10</v>
      </c>
      <c r="B5" s="24" t="s">
        <v>10</v>
      </c>
      <c r="C5" s="24"/>
      <c r="D5" s="24" t="s">
        <v>55</v>
      </c>
      <c r="E5" s="24" t="s">
        <v>56</v>
      </c>
      <c r="F5" s="24" t="s">
        <v>119</v>
      </c>
      <c r="G5" s="24">
        <v>0</v>
      </c>
      <c r="H5" s="24" t="s">
        <v>57</v>
      </c>
      <c r="I5" s="24">
        <v>0</v>
      </c>
      <c r="J5" s="24" t="s">
        <v>82</v>
      </c>
      <c r="K5" s="24"/>
      <c r="L5" s="25" t="s">
        <v>74</v>
      </c>
    </row>
    <row r="6" spans="1:17" ht="14.4" x14ac:dyDescent="0.3">
      <c r="A6" s="23" t="s">
        <v>10</v>
      </c>
      <c r="B6" s="24" t="s">
        <v>10</v>
      </c>
      <c r="C6" s="24"/>
      <c r="D6" s="24" t="s">
        <v>53</v>
      </c>
      <c r="E6" s="24" t="s">
        <v>54</v>
      </c>
      <c r="F6" s="24" t="s">
        <v>120</v>
      </c>
      <c r="G6" s="24">
        <v>0</v>
      </c>
      <c r="H6" s="24" t="s">
        <v>52</v>
      </c>
      <c r="I6" s="24">
        <v>0</v>
      </c>
      <c r="J6" s="24" t="s">
        <v>83</v>
      </c>
      <c r="K6" s="24"/>
      <c r="L6" s="25" t="s">
        <v>74</v>
      </c>
      <c r="M6" s="29"/>
    </row>
    <row r="7" spans="1:17" ht="17.399999999999999" x14ac:dyDescent="0.3">
      <c r="A7" s="23" t="s">
        <v>10</v>
      </c>
      <c r="B7" s="24" t="s">
        <v>10</v>
      </c>
      <c r="C7" s="24"/>
      <c r="D7" s="24" t="s">
        <v>50</v>
      </c>
      <c r="E7" s="24" t="s">
        <v>51</v>
      </c>
      <c r="F7" s="24" t="s">
        <v>121</v>
      </c>
      <c r="G7" s="24">
        <v>0</v>
      </c>
      <c r="H7" s="24" t="s">
        <v>47</v>
      </c>
      <c r="I7" s="24">
        <v>0</v>
      </c>
      <c r="J7" s="24" t="s">
        <v>84</v>
      </c>
      <c r="K7" s="24"/>
      <c r="L7" s="25" t="s">
        <v>74</v>
      </c>
      <c r="M7" s="30"/>
    </row>
    <row r="8" spans="1:17" x14ac:dyDescent="0.3">
      <c r="A8" s="23" t="s">
        <v>122</v>
      </c>
      <c r="B8" s="24" t="s">
        <v>123</v>
      </c>
      <c r="C8" s="24"/>
      <c r="D8" s="24" t="s">
        <v>35</v>
      </c>
      <c r="E8" s="24" t="s">
        <v>45</v>
      </c>
      <c r="F8" s="24" t="s">
        <v>46</v>
      </c>
      <c r="G8" s="24">
        <v>0</v>
      </c>
      <c r="H8" s="24" t="s">
        <v>47</v>
      </c>
      <c r="I8" s="24">
        <v>3</v>
      </c>
      <c r="J8" s="24" t="s">
        <v>85</v>
      </c>
      <c r="K8" s="24"/>
      <c r="L8" s="25" t="s">
        <v>74</v>
      </c>
    </row>
    <row r="9" spans="1:17" x14ac:dyDescent="0.3">
      <c r="A9" s="23" t="s">
        <v>122</v>
      </c>
      <c r="B9" s="24" t="s">
        <v>123</v>
      </c>
      <c r="C9" s="24"/>
      <c r="D9" s="24" t="s">
        <v>35</v>
      </c>
      <c r="E9" s="24" t="s">
        <v>43</v>
      </c>
      <c r="F9" s="24" t="s">
        <v>124</v>
      </c>
      <c r="G9" s="24">
        <v>0</v>
      </c>
      <c r="H9" s="24" t="s">
        <v>44</v>
      </c>
      <c r="I9" s="24">
        <v>1</v>
      </c>
      <c r="J9" s="24" t="s">
        <v>86</v>
      </c>
      <c r="K9" s="24"/>
      <c r="L9" s="25" t="s">
        <v>74</v>
      </c>
    </row>
    <row r="10" spans="1:17" x14ac:dyDescent="0.3">
      <c r="A10" s="23" t="s">
        <v>125</v>
      </c>
      <c r="B10" s="24" t="s">
        <v>126</v>
      </c>
      <c r="C10" s="24"/>
      <c r="D10" s="24" t="s">
        <v>35</v>
      </c>
      <c r="E10" s="24" t="s">
        <v>41</v>
      </c>
      <c r="F10" s="24" t="s">
        <v>127</v>
      </c>
      <c r="G10" s="24">
        <v>0</v>
      </c>
      <c r="H10" s="24" t="s">
        <v>42</v>
      </c>
      <c r="I10" s="24">
        <v>0</v>
      </c>
      <c r="J10" s="24" t="s">
        <v>87</v>
      </c>
      <c r="K10" s="24"/>
      <c r="L10" s="25" t="s">
        <v>74</v>
      </c>
    </row>
    <row r="11" spans="1:17" x14ac:dyDescent="0.3">
      <c r="A11" s="23" t="s">
        <v>125</v>
      </c>
      <c r="B11" s="24" t="s">
        <v>10</v>
      </c>
      <c r="C11" s="24"/>
      <c r="D11" s="24" t="s">
        <v>35</v>
      </c>
      <c r="E11" s="24" t="s">
        <v>37</v>
      </c>
      <c r="F11" s="24" t="s">
        <v>128</v>
      </c>
      <c r="G11" s="24">
        <v>0</v>
      </c>
      <c r="H11" s="24" t="s">
        <v>38</v>
      </c>
      <c r="I11" s="24">
        <v>0</v>
      </c>
      <c r="J11" s="24" t="s">
        <v>88</v>
      </c>
      <c r="K11" s="24"/>
      <c r="L11" s="25" t="s">
        <v>74</v>
      </c>
    </row>
    <row r="12" spans="1:17" x14ac:dyDescent="0.3">
      <c r="A12" s="23" t="s">
        <v>129</v>
      </c>
      <c r="B12" s="24" t="s">
        <v>130</v>
      </c>
      <c r="C12" s="24"/>
      <c r="D12" s="24" t="s">
        <v>35</v>
      </c>
      <c r="E12" s="24" t="s">
        <v>36</v>
      </c>
      <c r="F12" s="24" t="s">
        <v>131</v>
      </c>
      <c r="G12" s="24">
        <v>0</v>
      </c>
      <c r="H12" s="24" t="s">
        <v>132</v>
      </c>
      <c r="I12" s="24">
        <v>0</v>
      </c>
      <c r="J12" s="24" t="s">
        <v>89</v>
      </c>
      <c r="K12" s="24"/>
      <c r="L12" s="25" t="s">
        <v>74</v>
      </c>
    </row>
    <row r="13" spans="1:17" ht="17.399999999999999" x14ac:dyDescent="0.3">
      <c r="A13" s="23" t="s">
        <v>129</v>
      </c>
      <c r="B13" s="24" t="s">
        <v>10</v>
      </c>
      <c r="C13" s="24"/>
      <c r="D13" s="24" t="s">
        <v>17</v>
      </c>
      <c r="E13" s="24" t="s">
        <v>33</v>
      </c>
      <c r="F13" s="24" t="s">
        <v>133</v>
      </c>
      <c r="G13" s="24">
        <v>0</v>
      </c>
      <c r="H13" s="24" t="s">
        <v>34</v>
      </c>
      <c r="I13" s="24">
        <v>1</v>
      </c>
      <c r="J13" s="24" t="s">
        <v>90</v>
      </c>
      <c r="K13" s="24"/>
      <c r="L13" s="25" t="s">
        <v>74</v>
      </c>
      <c r="Q13" s="32"/>
    </row>
    <row r="14" spans="1:17" x14ac:dyDescent="0.3">
      <c r="A14" s="23" t="s">
        <v>129</v>
      </c>
      <c r="B14" s="24" t="s">
        <v>10</v>
      </c>
      <c r="C14" s="24"/>
      <c r="D14" s="24" t="s">
        <v>17</v>
      </c>
      <c r="E14" s="24" t="s">
        <v>31</v>
      </c>
      <c r="F14" s="24" t="s">
        <v>134</v>
      </c>
      <c r="G14" s="24">
        <v>2</v>
      </c>
      <c r="H14" s="24" t="s">
        <v>32</v>
      </c>
      <c r="I14" s="24">
        <v>0</v>
      </c>
      <c r="J14" s="24" t="s">
        <v>91</v>
      </c>
      <c r="K14" s="24"/>
      <c r="L14" s="25" t="s">
        <v>74</v>
      </c>
    </row>
    <row r="15" spans="1:17" x14ac:dyDescent="0.3">
      <c r="A15" s="23" t="s">
        <v>129</v>
      </c>
      <c r="B15" s="24" t="s">
        <v>10</v>
      </c>
      <c r="C15" s="24"/>
      <c r="D15" s="24" t="s">
        <v>17</v>
      </c>
      <c r="E15" s="24" t="s">
        <v>29</v>
      </c>
      <c r="F15" s="24" t="s">
        <v>135</v>
      </c>
      <c r="G15" s="24">
        <v>0</v>
      </c>
      <c r="H15" s="24" t="s">
        <v>30</v>
      </c>
      <c r="I15" s="24">
        <v>0</v>
      </c>
      <c r="J15" s="24" t="s">
        <v>92</v>
      </c>
      <c r="K15" s="24"/>
      <c r="L15" s="25" t="s">
        <v>74</v>
      </c>
    </row>
    <row r="16" spans="1:17" x14ac:dyDescent="0.3">
      <c r="A16" s="23" t="s">
        <v>136</v>
      </c>
      <c r="B16" s="24" t="s">
        <v>137</v>
      </c>
      <c r="C16" s="24"/>
      <c r="D16" s="24" t="s">
        <v>21</v>
      </c>
      <c r="E16" s="24" t="s">
        <v>27</v>
      </c>
      <c r="F16" s="24" t="s">
        <v>138</v>
      </c>
      <c r="G16" s="24">
        <v>0</v>
      </c>
      <c r="H16" s="24" t="s">
        <v>28</v>
      </c>
      <c r="I16" s="24">
        <v>0</v>
      </c>
      <c r="J16" s="24" t="s">
        <v>93</v>
      </c>
      <c r="K16" s="24"/>
      <c r="L16" s="25" t="s">
        <v>74</v>
      </c>
    </row>
    <row r="17" spans="1:12" x14ac:dyDescent="0.3">
      <c r="A17" s="23" t="s">
        <v>136</v>
      </c>
      <c r="B17" s="24" t="s">
        <v>10</v>
      </c>
      <c r="C17" s="24"/>
      <c r="D17" s="24" t="s">
        <v>21</v>
      </c>
      <c r="E17" s="24" t="s">
        <v>25</v>
      </c>
      <c r="F17" s="24" t="s">
        <v>139</v>
      </c>
      <c r="G17" s="24">
        <v>0</v>
      </c>
      <c r="H17" s="24" t="s">
        <v>26</v>
      </c>
      <c r="I17" s="24">
        <v>0</v>
      </c>
      <c r="J17" s="24" t="s">
        <v>94</v>
      </c>
      <c r="K17" s="24"/>
      <c r="L17" s="25" t="s">
        <v>74</v>
      </c>
    </row>
    <row r="18" spans="1:12" x14ac:dyDescent="0.3">
      <c r="A18" s="23" t="s">
        <v>136</v>
      </c>
      <c r="B18" s="24" t="s">
        <v>10</v>
      </c>
      <c r="C18" s="24"/>
      <c r="D18" s="24" t="s">
        <v>21</v>
      </c>
      <c r="E18" s="24" t="s">
        <v>23</v>
      </c>
      <c r="F18" s="24" t="s">
        <v>140</v>
      </c>
      <c r="G18" s="24">
        <v>2</v>
      </c>
      <c r="H18" s="24" t="s">
        <v>24</v>
      </c>
      <c r="I18" s="24">
        <v>1</v>
      </c>
      <c r="J18" s="24" t="s">
        <v>95</v>
      </c>
      <c r="K18" s="24"/>
      <c r="L18" s="25" t="s">
        <v>74</v>
      </c>
    </row>
    <row r="19" spans="1:12" x14ac:dyDescent="0.3">
      <c r="A19" s="23" t="s">
        <v>136</v>
      </c>
      <c r="B19" s="24" t="s">
        <v>10</v>
      </c>
      <c r="C19" s="24"/>
      <c r="D19" s="24" t="s">
        <v>21</v>
      </c>
      <c r="E19" s="24" t="s">
        <v>22</v>
      </c>
      <c r="F19" s="24" t="s">
        <v>141</v>
      </c>
      <c r="G19" s="24">
        <v>2</v>
      </c>
      <c r="H19" s="24" t="s">
        <v>142</v>
      </c>
      <c r="I19" s="24">
        <v>1</v>
      </c>
      <c r="J19" s="24" t="s">
        <v>96</v>
      </c>
      <c r="K19" s="24"/>
      <c r="L19" s="25" t="s">
        <v>74</v>
      </c>
    </row>
    <row r="20" spans="1:12" x14ac:dyDescent="0.3">
      <c r="A20" s="23" t="s">
        <v>136</v>
      </c>
      <c r="B20" s="24" t="s">
        <v>10</v>
      </c>
      <c r="C20" s="24"/>
      <c r="D20" s="24" t="s">
        <v>14</v>
      </c>
      <c r="E20" s="24" t="s">
        <v>19</v>
      </c>
      <c r="F20" s="24" t="s">
        <v>143</v>
      </c>
      <c r="G20" s="24">
        <v>0</v>
      </c>
      <c r="H20" s="24" t="s">
        <v>20</v>
      </c>
      <c r="I20" s="24">
        <v>1</v>
      </c>
      <c r="J20" s="24" t="s">
        <v>97</v>
      </c>
      <c r="K20" s="24"/>
      <c r="L20" s="25" t="s">
        <v>74</v>
      </c>
    </row>
    <row r="21" spans="1:12" x14ac:dyDescent="0.3">
      <c r="A21" s="23" t="s">
        <v>136</v>
      </c>
      <c r="B21" s="24" t="s">
        <v>10</v>
      </c>
      <c r="C21" s="24"/>
      <c r="D21" s="24" t="s">
        <v>17</v>
      </c>
      <c r="E21" s="24" t="s">
        <v>18</v>
      </c>
      <c r="F21" s="24" t="s">
        <v>144</v>
      </c>
      <c r="G21" s="24">
        <v>0</v>
      </c>
      <c r="H21" s="24" t="s">
        <v>145</v>
      </c>
      <c r="I21" s="24">
        <v>0</v>
      </c>
      <c r="J21" s="24" t="s">
        <v>98</v>
      </c>
      <c r="K21" s="24"/>
      <c r="L21" s="25" t="s">
        <v>72</v>
      </c>
    </row>
    <row r="22" spans="1:12" x14ac:dyDescent="0.3">
      <c r="A22" s="23" t="s">
        <v>136</v>
      </c>
      <c r="B22" s="24" t="s">
        <v>12</v>
      </c>
      <c r="C22" s="24"/>
      <c r="D22" s="24" t="s">
        <v>14</v>
      </c>
      <c r="E22" s="24" t="s">
        <v>15</v>
      </c>
      <c r="F22" s="24" t="s">
        <v>146</v>
      </c>
      <c r="G22" s="24">
        <v>0</v>
      </c>
      <c r="H22" s="24" t="s">
        <v>16</v>
      </c>
      <c r="I22" s="24">
        <v>0</v>
      </c>
      <c r="J22" s="24" t="s">
        <v>108</v>
      </c>
      <c r="K22" s="24"/>
      <c r="L22" s="25" t="s">
        <v>72</v>
      </c>
    </row>
    <row r="23" spans="1:12" x14ac:dyDescent="0.3">
      <c r="A23" s="23" t="s">
        <v>136</v>
      </c>
      <c r="B23" s="24" t="s">
        <v>10</v>
      </c>
      <c r="C23" s="24"/>
      <c r="D23" s="24" t="s">
        <v>12</v>
      </c>
      <c r="E23" s="24" t="s">
        <v>13</v>
      </c>
      <c r="F23" s="24" t="s">
        <v>147</v>
      </c>
      <c r="G23" s="24">
        <v>0</v>
      </c>
      <c r="H23" s="24" t="s">
        <v>148</v>
      </c>
      <c r="I23" s="24">
        <v>1</v>
      </c>
      <c r="J23" s="24" t="s">
        <v>109</v>
      </c>
      <c r="K23" s="24"/>
      <c r="L23" s="25" t="s">
        <v>72</v>
      </c>
    </row>
    <row r="24" spans="1:12" x14ac:dyDescent="0.3">
      <c r="A24" s="23"/>
      <c r="B24" s="24"/>
      <c r="C24" s="24"/>
      <c r="D24" s="24"/>
      <c r="E24" s="24"/>
      <c r="F24" s="24"/>
      <c r="G24" s="24"/>
      <c r="H24" s="24"/>
      <c r="I24" s="24"/>
      <c r="J24" s="24"/>
      <c r="K24" s="24"/>
      <c r="L24" s="25"/>
    </row>
    <row r="25" spans="1:12" x14ac:dyDescent="0.3">
      <c r="A25" s="23"/>
      <c r="B25" s="24"/>
      <c r="C25" s="24"/>
      <c r="D25" s="24"/>
      <c r="E25" s="24"/>
      <c r="F25" s="24"/>
      <c r="G25" s="24"/>
      <c r="H25" s="24"/>
      <c r="I25" s="24"/>
      <c r="J25" s="24"/>
      <c r="K25" s="24"/>
      <c r="L25" s="25"/>
    </row>
    <row r="26" spans="1:12" x14ac:dyDescent="0.3">
      <c r="A26" s="23"/>
      <c r="B26" s="24"/>
      <c r="C26" s="24"/>
      <c r="D26" s="24"/>
      <c r="E26" s="24"/>
      <c r="F26" s="24"/>
      <c r="G26" s="24"/>
      <c r="H26" s="24"/>
      <c r="I26" s="24"/>
      <c r="J26" s="24"/>
      <c r="K26" s="24"/>
      <c r="L26" s="25"/>
    </row>
    <row r="27" spans="1:12" x14ac:dyDescent="0.3">
      <c r="A27" s="23"/>
      <c r="B27" s="24"/>
      <c r="C27" s="24"/>
      <c r="D27" s="24"/>
      <c r="E27" s="24"/>
      <c r="F27" s="24"/>
      <c r="G27" s="24"/>
      <c r="H27" s="24"/>
      <c r="I27" s="24"/>
      <c r="J27" s="24"/>
      <c r="K27" s="24"/>
      <c r="L27" s="25"/>
    </row>
    <row r="28" spans="1:12" x14ac:dyDescent="0.3">
      <c r="A28" s="23"/>
      <c r="B28" s="24"/>
      <c r="C28" s="24"/>
      <c r="D28" s="24"/>
      <c r="E28" s="24"/>
      <c r="F28" s="24"/>
      <c r="G28" s="24"/>
      <c r="H28" s="24"/>
      <c r="I28" s="24"/>
      <c r="J28" s="24"/>
      <c r="K28" s="24"/>
      <c r="L28" s="25"/>
    </row>
    <row r="29" spans="1:12" x14ac:dyDescent="0.3">
      <c r="A29" s="23"/>
      <c r="B29" s="24"/>
      <c r="C29" s="24"/>
      <c r="D29" s="24"/>
      <c r="E29" s="24"/>
      <c r="F29" s="24"/>
      <c r="G29" s="24"/>
      <c r="H29" s="24"/>
      <c r="I29" s="24"/>
      <c r="J29" s="24"/>
      <c r="K29" s="24"/>
      <c r="L29" s="25"/>
    </row>
    <row r="30" spans="1:12" x14ac:dyDescent="0.3">
      <c r="A30" s="23"/>
      <c r="B30" s="24"/>
      <c r="C30" s="24"/>
      <c r="D30" s="24"/>
      <c r="E30" s="24"/>
      <c r="F30" s="24"/>
      <c r="G30" s="24"/>
      <c r="H30" s="24"/>
      <c r="I30" s="24"/>
      <c r="J30" s="24"/>
      <c r="K30" s="24"/>
      <c r="L30" s="25"/>
    </row>
    <row r="31" spans="1:12" x14ac:dyDescent="0.3">
      <c r="A31" s="23"/>
      <c r="B31" s="24"/>
      <c r="C31" s="24"/>
      <c r="D31" s="24"/>
      <c r="E31" s="24"/>
      <c r="F31" s="24"/>
      <c r="G31" s="24"/>
      <c r="H31" s="24"/>
      <c r="I31" s="24"/>
      <c r="J31" s="24"/>
      <c r="K31" s="24"/>
      <c r="L31" s="25"/>
    </row>
    <row r="32" spans="1:12" x14ac:dyDescent="0.3">
      <c r="A32" s="23"/>
      <c r="B32" s="24"/>
      <c r="C32" s="24"/>
      <c r="D32" s="24"/>
      <c r="E32" s="24"/>
      <c r="F32" s="24"/>
      <c r="G32" s="24"/>
      <c r="H32" s="24"/>
      <c r="I32" s="24"/>
      <c r="J32" s="24"/>
      <c r="K32" s="24"/>
      <c r="L32" s="25"/>
    </row>
    <row r="33" spans="1:12" x14ac:dyDescent="0.3">
      <c r="A33" s="23"/>
      <c r="B33" s="24"/>
      <c r="C33" s="24"/>
      <c r="D33" s="24"/>
      <c r="E33" s="24"/>
      <c r="F33" s="24"/>
      <c r="G33" s="24"/>
      <c r="H33" s="24"/>
      <c r="I33" s="24"/>
      <c r="J33" s="24"/>
      <c r="K33" s="24"/>
      <c r="L33" s="25"/>
    </row>
    <row r="34" spans="1:12" x14ac:dyDescent="0.3">
      <c r="A34" s="23"/>
      <c r="B34" s="24"/>
      <c r="C34" s="24"/>
      <c r="D34" s="24"/>
      <c r="E34" s="24"/>
      <c r="F34" s="24"/>
      <c r="G34" s="24"/>
      <c r="H34" s="24"/>
      <c r="I34" s="24"/>
      <c r="J34" s="24"/>
      <c r="K34" s="24"/>
      <c r="L34" s="25"/>
    </row>
    <row r="35" spans="1:12" x14ac:dyDescent="0.3">
      <c r="A35" s="23"/>
      <c r="B35" s="24"/>
      <c r="C35" s="24"/>
      <c r="D35" s="24"/>
      <c r="E35" s="24"/>
      <c r="F35" s="24"/>
      <c r="G35" s="24"/>
      <c r="H35" s="24"/>
      <c r="I35" s="24"/>
      <c r="J35" s="24"/>
      <c r="K35" s="24"/>
      <c r="L35" s="25"/>
    </row>
    <row r="36" spans="1:12" x14ac:dyDescent="0.3">
      <c r="A36" s="23"/>
      <c r="B36" s="24"/>
      <c r="C36" s="24"/>
      <c r="D36" s="24"/>
      <c r="E36" s="24"/>
      <c r="F36" s="24"/>
      <c r="G36" s="24"/>
      <c r="H36" s="24"/>
      <c r="I36" s="24"/>
      <c r="J36" s="24"/>
      <c r="K36" s="24"/>
      <c r="L36" s="25"/>
    </row>
    <row r="37" spans="1:12" x14ac:dyDescent="0.3">
      <c r="A37" s="23"/>
      <c r="B37" s="24"/>
      <c r="C37" s="24"/>
      <c r="D37" s="24"/>
      <c r="E37" s="24"/>
      <c r="F37" s="24"/>
      <c r="G37" s="24"/>
      <c r="H37" s="24"/>
      <c r="I37" s="24"/>
      <c r="J37" s="24"/>
      <c r="K37" s="24"/>
      <c r="L37" s="25"/>
    </row>
    <row r="38" spans="1:12" x14ac:dyDescent="0.3">
      <c r="A38" s="23"/>
      <c r="B38" s="24"/>
      <c r="C38" s="24"/>
      <c r="D38" s="24"/>
      <c r="E38" s="24"/>
      <c r="F38" s="24"/>
      <c r="G38" s="24"/>
      <c r="H38" s="24"/>
      <c r="I38" s="24"/>
      <c r="J38" s="24"/>
      <c r="K38" s="24"/>
      <c r="L38" s="25"/>
    </row>
    <row r="39" spans="1:12" x14ac:dyDescent="0.3">
      <c r="A39" s="23"/>
      <c r="B39" s="24"/>
      <c r="C39" s="24"/>
      <c r="D39" s="24"/>
      <c r="E39" s="24"/>
      <c r="F39" s="24"/>
      <c r="G39" s="24"/>
      <c r="H39" s="24"/>
      <c r="I39" s="24"/>
      <c r="J39" s="24"/>
      <c r="K39" s="24"/>
      <c r="L39" s="25"/>
    </row>
    <row r="40" spans="1:12" x14ac:dyDescent="0.3">
      <c r="A40" s="23"/>
      <c r="B40" s="24"/>
      <c r="C40" s="24"/>
      <c r="D40" s="24"/>
      <c r="E40" s="24"/>
      <c r="F40" s="24"/>
      <c r="G40" s="24"/>
      <c r="H40" s="24"/>
      <c r="I40" s="24"/>
      <c r="J40" s="24"/>
      <c r="K40" s="24"/>
      <c r="L40" s="25"/>
    </row>
    <row r="41" spans="1:12" x14ac:dyDescent="0.3">
      <c r="A41" s="23"/>
      <c r="B41" s="24"/>
      <c r="C41" s="24"/>
      <c r="D41" s="24"/>
      <c r="E41" s="24"/>
      <c r="F41" s="24"/>
      <c r="G41" s="24"/>
      <c r="H41" s="24"/>
      <c r="I41" s="24"/>
      <c r="J41" s="24"/>
      <c r="K41" s="24"/>
      <c r="L41" s="25"/>
    </row>
    <row r="42" spans="1:12" x14ac:dyDescent="0.3">
      <c r="A42" s="23"/>
      <c r="B42" s="24"/>
      <c r="C42" s="24"/>
      <c r="D42" s="24"/>
      <c r="E42" s="24"/>
      <c r="F42" s="24"/>
      <c r="G42" s="24"/>
      <c r="H42" s="24"/>
      <c r="I42" s="24"/>
      <c r="J42" s="24"/>
      <c r="K42" s="24"/>
      <c r="L42" s="25"/>
    </row>
    <row r="43" spans="1:12" x14ac:dyDescent="0.3">
      <c r="A43" s="23"/>
      <c r="B43" s="24"/>
      <c r="C43" s="24"/>
      <c r="D43" s="24"/>
      <c r="E43" s="24"/>
      <c r="F43" s="24"/>
      <c r="G43" s="24"/>
      <c r="H43" s="24"/>
      <c r="I43" s="24"/>
      <c r="J43" s="24"/>
      <c r="K43" s="24"/>
      <c r="L43" s="25"/>
    </row>
    <row r="44" spans="1:12" x14ac:dyDescent="0.3">
      <c r="A44" s="23"/>
      <c r="B44" s="24"/>
      <c r="C44" s="24"/>
      <c r="D44" s="24"/>
      <c r="E44" s="24"/>
      <c r="F44" s="24"/>
      <c r="G44" s="24"/>
      <c r="H44" s="24"/>
      <c r="I44" s="24"/>
      <c r="J44" s="24"/>
      <c r="K44" s="24"/>
      <c r="L44" s="25"/>
    </row>
    <row r="45" spans="1:12" x14ac:dyDescent="0.3">
      <c r="A45" s="23"/>
      <c r="B45" s="24"/>
      <c r="C45" s="24"/>
      <c r="D45" s="24"/>
      <c r="E45" s="24"/>
      <c r="F45" s="24"/>
      <c r="G45" s="24"/>
      <c r="H45" s="24"/>
      <c r="I45" s="24"/>
      <c r="J45" s="24"/>
      <c r="K45" s="24"/>
      <c r="L45" s="25"/>
    </row>
    <row r="46" spans="1:12" x14ac:dyDescent="0.3">
      <c r="A46" s="23"/>
      <c r="B46" s="24"/>
      <c r="C46" s="24"/>
      <c r="D46" s="24"/>
      <c r="E46" s="24"/>
      <c r="F46" s="24"/>
      <c r="G46" s="24"/>
      <c r="H46" s="24"/>
      <c r="I46" s="24"/>
      <c r="J46" s="24"/>
      <c r="K46" s="24"/>
      <c r="L46" s="25"/>
    </row>
    <row r="47" spans="1:12" x14ac:dyDescent="0.3">
      <c r="A47" s="23"/>
      <c r="B47" s="24"/>
      <c r="C47" s="24"/>
      <c r="D47" s="24"/>
      <c r="E47" s="24"/>
      <c r="F47" s="24"/>
      <c r="G47" s="24"/>
      <c r="H47" s="24"/>
      <c r="I47" s="24"/>
      <c r="J47" s="24"/>
      <c r="K47" s="24"/>
      <c r="L47" s="25"/>
    </row>
    <row r="48" spans="1:12" x14ac:dyDescent="0.3">
      <c r="A48" s="23"/>
      <c r="B48" s="24"/>
      <c r="C48" s="24"/>
      <c r="D48" s="24"/>
      <c r="E48" s="24"/>
      <c r="F48" s="24"/>
      <c r="G48" s="24"/>
      <c r="H48" s="24"/>
      <c r="I48" s="24"/>
      <c r="J48" s="24"/>
      <c r="K48" s="24"/>
      <c r="L48" s="25"/>
    </row>
    <row r="49" spans="1:12" x14ac:dyDescent="0.3">
      <c r="A49" s="23"/>
      <c r="B49" s="24"/>
      <c r="C49" s="24"/>
      <c r="D49" s="24"/>
      <c r="E49" s="24"/>
      <c r="F49" s="24"/>
      <c r="G49" s="24"/>
      <c r="H49" s="24"/>
      <c r="I49" s="24"/>
      <c r="J49" s="24"/>
      <c r="K49" s="24"/>
      <c r="L49" s="25"/>
    </row>
    <row r="50" spans="1:12" x14ac:dyDescent="0.3">
      <c r="A50" s="23"/>
      <c r="B50" s="24"/>
      <c r="C50" s="24"/>
      <c r="D50" s="24"/>
      <c r="E50" s="24"/>
      <c r="F50" s="24"/>
      <c r="G50" s="24"/>
      <c r="H50" s="24"/>
      <c r="I50" s="24"/>
      <c r="J50" s="24"/>
      <c r="K50" s="24"/>
      <c r="L50" s="25"/>
    </row>
    <row r="51" spans="1:12" x14ac:dyDescent="0.3">
      <c r="A51" s="23"/>
      <c r="B51" s="24"/>
      <c r="C51" s="24"/>
      <c r="D51" s="24"/>
      <c r="E51" s="24"/>
      <c r="F51" s="24"/>
      <c r="G51" s="24"/>
      <c r="H51" s="24"/>
      <c r="I51" s="24"/>
      <c r="J51" s="24"/>
      <c r="K51" s="24"/>
      <c r="L51" s="25"/>
    </row>
    <row r="52" spans="1:12" x14ac:dyDescent="0.3">
      <c r="A52" s="23"/>
      <c r="B52" s="24"/>
      <c r="C52" s="24"/>
      <c r="D52" s="24"/>
      <c r="E52" s="24"/>
      <c r="F52" s="24"/>
      <c r="G52" s="24"/>
      <c r="H52" s="24"/>
      <c r="I52" s="24"/>
      <c r="J52" s="24"/>
      <c r="K52" s="24"/>
      <c r="L52" s="25"/>
    </row>
    <row r="53" spans="1:12" x14ac:dyDescent="0.3">
      <c r="A53" s="23"/>
      <c r="B53" s="24"/>
      <c r="C53" s="24"/>
      <c r="D53" s="24"/>
      <c r="E53" s="24"/>
      <c r="F53" s="24"/>
      <c r="G53" s="24"/>
      <c r="H53" s="24"/>
      <c r="I53" s="24"/>
      <c r="J53" s="24"/>
      <c r="K53" s="24"/>
      <c r="L53" s="25"/>
    </row>
    <row r="54" spans="1:12" x14ac:dyDescent="0.3">
      <c r="A54" s="23"/>
      <c r="B54" s="24"/>
      <c r="C54" s="24"/>
      <c r="D54" s="24"/>
      <c r="E54" s="24"/>
      <c r="F54" s="24"/>
      <c r="G54" s="24"/>
      <c r="H54" s="24"/>
      <c r="I54" s="24"/>
      <c r="J54" s="24"/>
      <c r="K54" s="24"/>
      <c r="L54" s="25"/>
    </row>
    <row r="55" spans="1:12" x14ac:dyDescent="0.3">
      <c r="A55" s="23"/>
      <c r="B55" s="24"/>
      <c r="C55" s="24"/>
      <c r="D55" s="24"/>
      <c r="E55" s="24"/>
      <c r="F55" s="24"/>
      <c r="G55" s="24"/>
      <c r="H55" s="24"/>
      <c r="I55" s="24"/>
      <c r="J55" s="24"/>
      <c r="K55" s="24"/>
      <c r="L55" s="25"/>
    </row>
    <row r="56" spans="1:12" x14ac:dyDescent="0.3">
      <c r="A56" s="23"/>
      <c r="B56" s="24"/>
      <c r="C56" s="24"/>
      <c r="D56" s="24"/>
      <c r="E56" s="24"/>
      <c r="F56" s="24"/>
      <c r="G56" s="24"/>
      <c r="H56" s="24"/>
      <c r="I56" s="24"/>
      <c r="J56" s="24"/>
      <c r="K56" s="24"/>
      <c r="L56" s="25"/>
    </row>
    <row r="57" spans="1:12" x14ac:dyDescent="0.3">
      <c r="A57" s="23"/>
      <c r="B57" s="24"/>
      <c r="C57" s="24"/>
      <c r="D57" s="24"/>
      <c r="E57" s="24"/>
      <c r="F57" s="24"/>
      <c r="G57" s="24"/>
      <c r="H57" s="24"/>
      <c r="I57" s="24"/>
      <c r="J57" s="24"/>
      <c r="K57" s="24"/>
      <c r="L57" s="25"/>
    </row>
    <row r="58" spans="1:12" x14ac:dyDescent="0.3">
      <c r="A58" s="23"/>
      <c r="B58" s="24"/>
      <c r="C58" s="24"/>
      <c r="D58" s="24"/>
      <c r="E58" s="24"/>
      <c r="F58" s="24"/>
      <c r="G58" s="24"/>
      <c r="H58" s="24"/>
      <c r="I58" s="24"/>
      <c r="J58" s="24"/>
      <c r="K58" s="24"/>
      <c r="L58" s="25"/>
    </row>
    <row r="59" spans="1:12" x14ac:dyDescent="0.3">
      <c r="A59" s="23"/>
      <c r="B59" s="24"/>
      <c r="C59" s="24"/>
      <c r="D59" s="24"/>
      <c r="E59" s="24"/>
      <c r="F59" s="24"/>
      <c r="G59" s="24"/>
      <c r="H59" s="24"/>
      <c r="I59" s="24"/>
      <c r="J59" s="24"/>
      <c r="K59" s="24"/>
      <c r="L59" s="25"/>
    </row>
    <row r="60" spans="1:12" x14ac:dyDescent="0.3">
      <c r="A60" s="23"/>
      <c r="B60" s="24"/>
      <c r="C60" s="24"/>
      <c r="D60" s="24"/>
      <c r="E60" s="24"/>
      <c r="F60" s="24"/>
      <c r="G60" s="24"/>
      <c r="H60" s="24"/>
      <c r="I60" s="24"/>
      <c r="J60" s="24"/>
      <c r="K60" s="24"/>
      <c r="L60" s="25"/>
    </row>
    <row r="61" spans="1:12" x14ac:dyDescent="0.3">
      <c r="A61" s="23"/>
      <c r="B61" s="24"/>
      <c r="C61" s="24"/>
      <c r="D61" s="24"/>
      <c r="E61" s="24"/>
      <c r="F61" s="24"/>
      <c r="G61" s="24"/>
      <c r="H61" s="24"/>
      <c r="I61" s="24"/>
      <c r="J61" s="24"/>
      <c r="K61" s="24"/>
      <c r="L61" s="25"/>
    </row>
    <row r="62" spans="1:12" x14ac:dyDescent="0.3">
      <c r="A62" s="23"/>
      <c r="B62" s="24"/>
      <c r="C62" s="24"/>
      <c r="D62" s="24"/>
      <c r="E62" s="24"/>
      <c r="F62" s="24"/>
      <c r="G62" s="24"/>
      <c r="H62" s="24"/>
      <c r="I62" s="24"/>
      <c r="J62" s="24"/>
      <c r="K62" s="24"/>
      <c r="L62" s="25"/>
    </row>
    <row r="63" spans="1:12" x14ac:dyDescent="0.3">
      <c r="A63" s="23"/>
      <c r="B63" s="24"/>
      <c r="C63" s="24"/>
      <c r="D63" s="24"/>
      <c r="E63" s="24"/>
      <c r="F63" s="24"/>
      <c r="G63" s="24"/>
      <c r="H63" s="24"/>
      <c r="I63" s="24"/>
      <c r="J63" s="24"/>
      <c r="K63" s="24"/>
      <c r="L63" s="25"/>
    </row>
    <row r="64" spans="1:12" x14ac:dyDescent="0.3">
      <c r="A64" s="23"/>
      <c r="B64" s="24"/>
      <c r="C64" s="24"/>
      <c r="D64" s="24"/>
      <c r="E64" s="24"/>
      <c r="F64" s="24"/>
      <c r="G64" s="24"/>
      <c r="H64" s="24"/>
      <c r="I64" s="24"/>
      <c r="J64" s="24"/>
      <c r="K64" s="24"/>
      <c r="L64" s="25"/>
    </row>
    <row r="65" spans="1:13" x14ac:dyDescent="0.3">
      <c r="A65" s="23"/>
      <c r="B65" s="24"/>
      <c r="C65" s="24"/>
      <c r="D65" s="24"/>
      <c r="E65" s="24"/>
      <c r="F65" s="24"/>
      <c r="G65" s="24"/>
      <c r="H65" s="24"/>
      <c r="I65" s="24"/>
      <c r="J65" s="24"/>
      <c r="K65" s="24"/>
      <c r="L65" s="25"/>
    </row>
    <row r="66" spans="1:13" s="31" customFormat="1" x14ac:dyDescent="0.3">
      <c r="M66" s="28"/>
    </row>
    <row r="67" spans="1:13" s="31" customFormat="1" x14ac:dyDescent="0.3">
      <c r="M67" s="28"/>
    </row>
    <row r="68" spans="1:13" s="31" customFormat="1" x14ac:dyDescent="0.3">
      <c r="M68" s="28"/>
    </row>
    <row r="69" spans="1:13" s="31" customFormat="1" x14ac:dyDescent="0.3">
      <c r="M69" s="28"/>
    </row>
    <row r="70" spans="1:13" s="31" customFormat="1" x14ac:dyDescent="0.3">
      <c r="M70" s="28"/>
    </row>
    <row r="71" spans="1:13" s="31" customFormat="1" x14ac:dyDescent="0.3">
      <c r="M71" s="28"/>
    </row>
    <row r="72" spans="1:13" s="31" customFormat="1" x14ac:dyDescent="0.3">
      <c r="M72" s="28"/>
    </row>
    <row r="73" spans="1:13" s="31" customFormat="1" x14ac:dyDescent="0.3">
      <c r="M73" s="28"/>
    </row>
    <row r="74" spans="1:13" s="31" customFormat="1" x14ac:dyDescent="0.3">
      <c r="M74" s="28"/>
    </row>
    <row r="75" spans="1:13" s="31" customFormat="1" x14ac:dyDescent="0.3">
      <c r="M75" s="28"/>
    </row>
    <row r="76" spans="1:13" s="31" customFormat="1" x14ac:dyDescent="0.3">
      <c r="M76" s="28"/>
    </row>
    <row r="77" spans="1:13" s="31" customFormat="1" x14ac:dyDescent="0.3">
      <c r="M77" s="28"/>
    </row>
    <row r="78" spans="1:13" s="31" customFormat="1" x14ac:dyDescent="0.3">
      <c r="M78" s="28"/>
    </row>
    <row r="79" spans="1:13" s="31" customFormat="1" x14ac:dyDescent="0.3">
      <c r="M79" s="28"/>
    </row>
    <row r="80" spans="1:13" s="31" customFormat="1" x14ac:dyDescent="0.3">
      <c r="M80" s="28"/>
    </row>
    <row r="81" spans="13:13" s="31" customFormat="1" x14ac:dyDescent="0.3">
      <c r="M81" s="28"/>
    </row>
    <row r="82" spans="13:13" s="31" customFormat="1" x14ac:dyDescent="0.3">
      <c r="M82" s="28"/>
    </row>
    <row r="83" spans="13:13" s="31" customFormat="1" x14ac:dyDescent="0.3">
      <c r="M83" s="28"/>
    </row>
    <row r="84" spans="13:13" s="31" customFormat="1" x14ac:dyDescent="0.3">
      <c r="M84" s="28"/>
    </row>
  </sheetData>
  <dataValidations count="1">
    <dataValidation type="list" allowBlank="1" showInputMessage="1" showErrorMessage="1" sqref="L2:L23">
      <formula1>"Yes, No, "</formula1>
    </dataValidation>
  </dataValidations>
  <pageMargins left="0.75" right="0.75" top="1" bottom="1" header="0.5" footer="0.5"/>
  <pageSetup orientation="portrait" r:id="rId1"/>
  <customProperties>
    <customPr name="KSheetIndex" r:id="rId2"/>
  </customPropertie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305"/>
  <sheetViews>
    <sheetView workbookViewId="0">
      <selection activeCell="A2" sqref="A2:L23"/>
    </sheetView>
  </sheetViews>
  <sheetFormatPr defaultColWidth="9.109375" defaultRowHeight="14.4" x14ac:dyDescent="0.3"/>
  <cols>
    <col min="1" max="1" width="26.5546875" style="17" customWidth="1"/>
    <col min="2" max="2" width="11.88671875" style="17" hidden="1" customWidth="1"/>
    <col min="3" max="3" width="0" style="17" hidden="1" customWidth="1"/>
    <col min="4" max="4" width="33.77734375" style="17" customWidth="1"/>
    <col min="5" max="5" width="20.77734375" style="17" customWidth="1"/>
    <col min="6" max="6" width="39.88671875" style="17" customWidth="1"/>
    <col min="7" max="7" width="9.109375" style="17"/>
    <col min="8" max="8" width="18.33203125" style="17" customWidth="1"/>
    <col min="9" max="11" width="9.109375" style="17"/>
    <col min="12" max="38" width="9.109375" style="31"/>
    <col min="39" max="16384" width="9.109375" style="17"/>
  </cols>
  <sheetData>
    <row r="1" spans="1:12" x14ac:dyDescent="0.3">
      <c r="A1" s="26" t="s">
        <v>3</v>
      </c>
      <c r="B1" s="26" t="s">
        <v>4</v>
      </c>
      <c r="C1" s="26" t="s">
        <v>5</v>
      </c>
      <c r="D1" s="26" t="s">
        <v>6</v>
      </c>
      <c r="E1" s="26" t="s">
        <v>7</v>
      </c>
      <c r="F1" s="26" t="s">
        <v>8</v>
      </c>
      <c r="G1" s="26" t="s">
        <v>99</v>
      </c>
      <c r="H1" s="26" t="s">
        <v>110</v>
      </c>
      <c r="I1" s="26" t="s">
        <v>9</v>
      </c>
      <c r="J1" s="26" t="s">
        <v>70</v>
      </c>
      <c r="K1" s="26" t="s">
        <v>71</v>
      </c>
    </row>
    <row r="2" spans="1:12" x14ac:dyDescent="0.3">
      <c r="A2" s="17" t="s">
        <v>10</v>
      </c>
      <c r="B2" s="17" t="s">
        <v>10</v>
      </c>
      <c r="D2" s="17" t="s">
        <v>11</v>
      </c>
      <c r="E2" s="17" t="s">
        <v>104</v>
      </c>
      <c r="F2" s="17" t="s">
        <v>115</v>
      </c>
      <c r="G2" s="17">
        <v>0</v>
      </c>
      <c r="H2" s="17" t="s">
        <v>105</v>
      </c>
      <c r="I2" s="17">
        <v>0</v>
      </c>
      <c r="J2" s="17">
        <v>40400</v>
      </c>
      <c r="K2" s="17" t="s">
        <v>72</v>
      </c>
      <c r="L2" s="17"/>
    </row>
    <row r="3" spans="1:12" x14ac:dyDescent="0.3">
      <c r="A3" s="17" t="s">
        <v>10</v>
      </c>
      <c r="B3" s="17" t="s">
        <v>10</v>
      </c>
      <c r="D3" s="17" t="s">
        <v>11</v>
      </c>
      <c r="E3" s="17" t="s">
        <v>102</v>
      </c>
      <c r="F3" s="17" t="s">
        <v>116</v>
      </c>
      <c r="G3" s="17">
        <v>0</v>
      </c>
      <c r="H3" s="17" t="s">
        <v>103</v>
      </c>
      <c r="I3" s="17">
        <v>0</v>
      </c>
      <c r="J3" s="17">
        <v>44840</v>
      </c>
      <c r="K3" s="17" t="s">
        <v>72</v>
      </c>
      <c r="L3" s="17"/>
    </row>
    <row r="4" spans="1:12" x14ac:dyDescent="0.3">
      <c r="A4" s="17" t="s">
        <v>10</v>
      </c>
      <c r="B4" s="17" t="s">
        <v>10</v>
      </c>
      <c r="D4" s="17" t="s">
        <v>11</v>
      </c>
      <c r="E4" s="17" t="s">
        <v>101</v>
      </c>
      <c r="F4" s="17" t="s">
        <v>117</v>
      </c>
      <c r="G4" s="17">
        <v>0</v>
      </c>
      <c r="H4" s="17" t="s">
        <v>118</v>
      </c>
      <c r="I4" s="17">
        <v>0</v>
      </c>
      <c r="J4" s="17">
        <v>45080</v>
      </c>
      <c r="K4" s="17" t="s">
        <v>72</v>
      </c>
      <c r="L4" s="17"/>
    </row>
    <row r="5" spans="1:12" x14ac:dyDescent="0.3">
      <c r="A5" s="17" t="s">
        <v>10</v>
      </c>
      <c r="B5" s="17" t="s">
        <v>10</v>
      </c>
      <c r="D5" s="17" t="s">
        <v>55</v>
      </c>
      <c r="E5" s="17" t="s">
        <v>56</v>
      </c>
      <c r="F5" s="17" t="s">
        <v>119</v>
      </c>
      <c r="G5" s="17">
        <v>0</v>
      </c>
      <c r="H5" s="17" t="s">
        <v>57</v>
      </c>
      <c r="I5" s="17">
        <v>0</v>
      </c>
      <c r="J5" s="17">
        <v>65720</v>
      </c>
      <c r="K5" s="17" t="s">
        <v>74</v>
      </c>
      <c r="L5" s="17"/>
    </row>
    <row r="6" spans="1:12" x14ac:dyDescent="0.3">
      <c r="A6" s="17" t="s">
        <v>10</v>
      </c>
      <c r="B6" s="17" t="s">
        <v>10</v>
      </c>
      <c r="D6" s="17" t="s">
        <v>53</v>
      </c>
      <c r="E6" s="17" t="s">
        <v>54</v>
      </c>
      <c r="F6" s="17" t="s">
        <v>120</v>
      </c>
      <c r="G6" s="17">
        <v>0</v>
      </c>
      <c r="H6" s="17" t="s">
        <v>52</v>
      </c>
      <c r="I6" s="17">
        <v>0</v>
      </c>
      <c r="J6" s="17">
        <v>65840</v>
      </c>
      <c r="K6" s="17" t="s">
        <v>74</v>
      </c>
      <c r="L6" s="17"/>
    </row>
    <row r="7" spans="1:12" x14ac:dyDescent="0.3">
      <c r="A7" s="17" t="s">
        <v>10</v>
      </c>
      <c r="B7" s="17" t="s">
        <v>10</v>
      </c>
      <c r="D7" s="17" t="s">
        <v>50</v>
      </c>
      <c r="E7" s="17" t="s">
        <v>51</v>
      </c>
      <c r="F7" s="17" t="s">
        <v>121</v>
      </c>
      <c r="G7" s="17">
        <v>0</v>
      </c>
      <c r="H7" s="17" t="s">
        <v>47</v>
      </c>
      <c r="I7" s="17">
        <v>0</v>
      </c>
      <c r="J7" s="17">
        <v>65900</v>
      </c>
      <c r="K7" s="17" t="s">
        <v>74</v>
      </c>
      <c r="L7" s="17"/>
    </row>
    <row r="8" spans="1:12" x14ac:dyDescent="0.3">
      <c r="A8" s="17" t="s">
        <v>122</v>
      </c>
      <c r="B8" s="17" t="s">
        <v>123</v>
      </c>
      <c r="D8" s="17" t="s">
        <v>35</v>
      </c>
      <c r="E8" s="17" t="s">
        <v>45</v>
      </c>
      <c r="F8" s="17" t="s">
        <v>46</v>
      </c>
      <c r="G8" s="17">
        <v>0</v>
      </c>
      <c r="H8" s="17" t="s">
        <v>47</v>
      </c>
      <c r="I8" s="17">
        <v>3</v>
      </c>
      <c r="J8" s="17">
        <v>65900</v>
      </c>
      <c r="K8" s="17" t="s">
        <v>74</v>
      </c>
      <c r="L8" s="17"/>
    </row>
    <row r="9" spans="1:12" x14ac:dyDescent="0.3">
      <c r="A9" s="17" t="s">
        <v>122</v>
      </c>
      <c r="B9" s="17" t="s">
        <v>123</v>
      </c>
      <c r="D9" s="17" t="s">
        <v>35</v>
      </c>
      <c r="E9" s="17" t="s">
        <v>43</v>
      </c>
      <c r="F9" s="17" t="s">
        <v>124</v>
      </c>
      <c r="G9" s="17">
        <v>0</v>
      </c>
      <c r="H9" s="17" t="s">
        <v>44</v>
      </c>
      <c r="I9" s="17">
        <v>1</v>
      </c>
      <c r="J9" s="17">
        <v>65960</v>
      </c>
      <c r="K9" s="17" t="s">
        <v>74</v>
      </c>
      <c r="L9" s="17"/>
    </row>
    <row r="10" spans="1:12" x14ac:dyDescent="0.3">
      <c r="A10" s="17" t="s">
        <v>125</v>
      </c>
      <c r="B10" s="17" t="s">
        <v>126</v>
      </c>
      <c r="D10" s="17" t="s">
        <v>35</v>
      </c>
      <c r="E10" s="17" t="s">
        <v>41</v>
      </c>
      <c r="F10" s="17" t="s">
        <v>127</v>
      </c>
      <c r="G10" s="17">
        <v>0</v>
      </c>
      <c r="H10" s="17" t="s">
        <v>42</v>
      </c>
      <c r="I10" s="17">
        <v>0</v>
      </c>
      <c r="J10" s="17">
        <v>66080</v>
      </c>
      <c r="K10" s="17" t="s">
        <v>74</v>
      </c>
      <c r="L10" s="17"/>
    </row>
    <row r="11" spans="1:12" x14ac:dyDescent="0.3">
      <c r="A11" s="17" t="s">
        <v>125</v>
      </c>
      <c r="B11" s="17" t="s">
        <v>10</v>
      </c>
      <c r="D11" s="17" t="s">
        <v>35</v>
      </c>
      <c r="E11" s="17" t="s">
        <v>37</v>
      </c>
      <c r="F11" s="17" t="s">
        <v>128</v>
      </c>
      <c r="G11" s="17">
        <v>0</v>
      </c>
      <c r="H11" s="17" t="s">
        <v>38</v>
      </c>
      <c r="I11" s="17">
        <v>0</v>
      </c>
      <c r="J11" s="17">
        <v>66140</v>
      </c>
      <c r="K11" s="17" t="s">
        <v>74</v>
      </c>
      <c r="L11" s="17"/>
    </row>
    <row r="12" spans="1:12" x14ac:dyDescent="0.3">
      <c r="A12" s="17" t="s">
        <v>129</v>
      </c>
      <c r="B12" s="17" t="s">
        <v>130</v>
      </c>
      <c r="D12" s="17" t="s">
        <v>35</v>
      </c>
      <c r="E12" s="17" t="s">
        <v>36</v>
      </c>
      <c r="F12" s="17" t="s">
        <v>131</v>
      </c>
      <c r="G12" s="17">
        <v>0</v>
      </c>
      <c r="H12" s="17" t="s">
        <v>132</v>
      </c>
      <c r="I12" s="17">
        <v>0</v>
      </c>
      <c r="J12" s="17">
        <v>66260</v>
      </c>
      <c r="K12" s="17" t="s">
        <v>74</v>
      </c>
      <c r="L12" s="17"/>
    </row>
    <row r="13" spans="1:12" x14ac:dyDescent="0.3">
      <c r="A13" s="17" t="s">
        <v>129</v>
      </c>
      <c r="B13" s="17" t="s">
        <v>10</v>
      </c>
      <c r="D13" s="17" t="s">
        <v>17</v>
      </c>
      <c r="E13" s="17" t="s">
        <v>33</v>
      </c>
      <c r="F13" s="17" t="s">
        <v>133</v>
      </c>
      <c r="G13" s="17">
        <v>0</v>
      </c>
      <c r="H13" s="17" t="s">
        <v>34</v>
      </c>
      <c r="I13" s="17">
        <v>1</v>
      </c>
      <c r="J13" s="17">
        <v>67160</v>
      </c>
      <c r="K13" s="17" t="s">
        <v>74</v>
      </c>
      <c r="L13" s="17"/>
    </row>
    <row r="14" spans="1:12" x14ac:dyDescent="0.3">
      <c r="A14" s="17" t="s">
        <v>129</v>
      </c>
      <c r="B14" s="17" t="s">
        <v>10</v>
      </c>
      <c r="D14" s="17" t="s">
        <v>17</v>
      </c>
      <c r="E14" s="17" t="s">
        <v>31</v>
      </c>
      <c r="F14" s="17" t="s">
        <v>134</v>
      </c>
      <c r="G14" s="17">
        <v>2</v>
      </c>
      <c r="H14" s="17" t="s">
        <v>32</v>
      </c>
      <c r="I14" s="17">
        <v>0</v>
      </c>
      <c r="J14" s="17">
        <v>67340</v>
      </c>
      <c r="K14" s="17" t="s">
        <v>74</v>
      </c>
      <c r="L14" s="17"/>
    </row>
    <row r="15" spans="1:12" x14ac:dyDescent="0.3">
      <c r="A15" s="17" t="s">
        <v>129</v>
      </c>
      <c r="B15" s="17" t="s">
        <v>10</v>
      </c>
      <c r="D15" s="17" t="s">
        <v>17</v>
      </c>
      <c r="E15" s="17" t="s">
        <v>29</v>
      </c>
      <c r="F15" s="17" t="s">
        <v>135</v>
      </c>
      <c r="G15" s="17">
        <v>0</v>
      </c>
      <c r="H15" s="17" t="s">
        <v>30</v>
      </c>
      <c r="I15" s="17">
        <v>0</v>
      </c>
      <c r="J15" s="17">
        <v>67640</v>
      </c>
      <c r="K15" s="17" t="s">
        <v>74</v>
      </c>
      <c r="L15" s="17"/>
    </row>
    <row r="16" spans="1:12" x14ac:dyDescent="0.3">
      <c r="A16" s="17" t="s">
        <v>136</v>
      </c>
      <c r="B16" s="17" t="s">
        <v>137</v>
      </c>
      <c r="D16" s="17" t="s">
        <v>21</v>
      </c>
      <c r="E16" s="17" t="s">
        <v>27</v>
      </c>
      <c r="F16" s="17" t="s">
        <v>138</v>
      </c>
      <c r="G16" s="17">
        <v>0</v>
      </c>
      <c r="H16" s="17" t="s">
        <v>28</v>
      </c>
      <c r="I16" s="17">
        <v>0</v>
      </c>
      <c r="J16" s="17">
        <v>69380</v>
      </c>
      <c r="K16" s="17" t="s">
        <v>74</v>
      </c>
      <c r="L16" s="17"/>
    </row>
    <row r="17" spans="1:12" x14ac:dyDescent="0.3">
      <c r="A17" s="17" t="s">
        <v>136</v>
      </c>
      <c r="B17" s="17" t="s">
        <v>10</v>
      </c>
      <c r="D17" s="17" t="s">
        <v>21</v>
      </c>
      <c r="E17" s="17" t="s">
        <v>25</v>
      </c>
      <c r="F17" s="17" t="s">
        <v>139</v>
      </c>
      <c r="G17" s="17">
        <v>0</v>
      </c>
      <c r="H17" s="17" t="s">
        <v>26</v>
      </c>
      <c r="I17" s="17">
        <v>0</v>
      </c>
      <c r="J17" s="17">
        <v>74300</v>
      </c>
      <c r="K17" s="17" t="s">
        <v>74</v>
      </c>
      <c r="L17" s="17"/>
    </row>
    <row r="18" spans="1:12" x14ac:dyDescent="0.3">
      <c r="A18" s="17" t="s">
        <v>136</v>
      </c>
      <c r="B18" s="17" t="s">
        <v>10</v>
      </c>
      <c r="D18" s="17" t="s">
        <v>21</v>
      </c>
      <c r="E18" s="17" t="s">
        <v>23</v>
      </c>
      <c r="F18" s="17" t="s">
        <v>140</v>
      </c>
      <c r="G18" s="17">
        <v>2</v>
      </c>
      <c r="H18" s="17" t="s">
        <v>24</v>
      </c>
      <c r="I18" s="17">
        <v>1</v>
      </c>
      <c r="J18" s="17">
        <v>74360</v>
      </c>
      <c r="K18" s="17" t="s">
        <v>74</v>
      </c>
      <c r="L18" s="17"/>
    </row>
    <row r="19" spans="1:12" x14ac:dyDescent="0.3">
      <c r="A19" s="17" t="s">
        <v>136</v>
      </c>
      <c r="B19" s="17" t="s">
        <v>10</v>
      </c>
      <c r="D19" s="17" t="s">
        <v>21</v>
      </c>
      <c r="E19" s="17" t="s">
        <v>22</v>
      </c>
      <c r="F19" s="17" t="s">
        <v>141</v>
      </c>
      <c r="G19" s="17">
        <v>2</v>
      </c>
      <c r="H19" s="17" t="s">
        <v>142</v>
      </c>
      <c r="I19" s="17">
        <v>1</v>
      </c>
      <c r="J19" s="17">
        <v>75440</v>
      </c>
      <c r="K19" s="17" t="s">
        <v>74</v>
      </c>
      <c r="L19" s="17"/>
    </row>
    <row r="20" spans="1:12" x14ac:dyDescent="0.3">
      <c r="A20" s="17" t="s">
        <v>136</v>
      </c>
      <c r="B20" s="17" t="s">
        <v>10</v>
      </c>
      <c r="D20" s="17" t="s">
        <v>14</v>
      </c>
      <c r="E20" s="17" t="s">
        <v>19</v>
      </c>
      <c r="F20" s="17" t="s">
        <v>143</v>
      </c>
      <c r="G20" s="17">
        <v>0</v>
      </c>
      <c r="H20" s="17" t="s">
        <v>20</v>
      </c>
      <c r="I20" s="17">
        <v>1</v>
      </c>
      <c r="J20" s="17">
        <v>76280</v>
      </c>
      <c r="K20" s="17" t="s">
        <v>74</v>
      </c>
      <c r="L20" s="17"/>
    </row>
    <row r="21" spans="1:12" x14ac:dyDescent="0.3">
      <c r="A21" s="17" t="s">
        <v>136</v>
      </c>
      <c r="B21" s="17" t="s">
        <v>10</v>
      </c>
      <c r="D21" s="17" t="s">
        <v>17</v>
      </c>
      <c r="E21" s="17" t="s">
        <v>18</v>
      </c>
      <c r="F21" s="17" t="s">
        <v>144</v>
      </c>
      <c r="G21" s="17">
        <v>0</v>
      </c>
      <c r="H21" s="17" t="s">
        <v>145</v>
      </c>
      <c r="I21" s="17">
        <v>0</v>
      </c>
      <c r="J21" s="17">
        <v>76400</v>
      </c>
      <c r="K21" s="17" t="s">
        <v>74</v>
      </c>
      <c r="L21" s="17"/>
    </row>
    <row r="22" spans="1:12" x14ac:dyDescent="0.3">
      <c r="A22" s="17" t="s">
        <v>136</v>
      </c>
      <c r="B22" s="17" t="s">
        <v>12</v>
      </c>
      <c r="D22" s="17" t="s">
        <v>14</v>
      </c>
      <c r="E22" s="17" t="s">
        <v>15</v>
      </c>
      <c r="F22" s="17" t="s">
        <v>146</v>
      </c>
      <c r="G22" s="17">
        <v>0</v>
      </c>
      <c r="H22" s="17" t="s">
        <v>16</v>
      </c>
      <c r="I22" s="17">
        <v>0</v>
      </c>
      <c r="J22" s="17">
        <v>76760</v>
      </c>
      <c r="K22" s="17" t="s">
        <v>74</v>
      </c>
      <c r="L22" s="17"/>
    </row>
    <row r="23" spans="1:12" x14ac:dyDescent="0.3">
      <c r="A23" s="17" t="s">
        <v>136</v>
      </c>
      <c r="B23" s="17" t="s">
        <v>10</v>
      </c>
      <c r="D23" s="17" t="s">
        <v>12</v>
      </c>
      <c r="E23" s="17" t="s">
        <v>13</v>
      </c>
      <c r="F23" s="17" t="s">
        <v>147</v>
      </c>
      <c r="G23" s="17">
        <v>0</v>
      </c>
      <c r="H23" s="17" t="s">
        <v>148</v>
      </c>
      <c r="I23" s="17">
        <v>1</v>
      </c>
      <c r="J23" s="17">
        <v>77960</v>
      </c>
      <c r="K23" s="17" t="s">
        <v>74</v>
      </c>
      <c r="L23" s="17"/>
    </row>
    <row r="24" spans="1:12" x14ac:dyDescent="0.3">
      <c r="A24" s="23"/>
      <c r="B24" s="24"/>
      <c r="C24" s="24"/>
      <c r="D24" s="24"/>
      <c r="E24" s="24"/>
      <c r="F24" s="24"/>
      <c r="G24" s="24"/>
      <c r="H24" s="24"/>
      <c r="I24" s="24"/>
      <c r="J24" s="24"/>
      <c r="K24" s="24"/>
    </row>
    <row r="25" spans="1:12" x14ac:dyDescent="0.3">
      <c r="A25" s="23"/>
      <c r="B25" s="24"/>
      <c r="C25" s="24"/>
      <c r="D25" s="24"/>
      <c r="E25" s="24"/>
      <c r="F25" s="24"/>
      <c r="G25" s="24"/>
      <c r="H25" s="24"/>
      <c r="I25" s="24"/>
      <c r="J25" s="24"/>
      <c r="K25" s="24"/>
    </row>
    <row r="26" spans="1:12" x14ac:dyDescent="0.3">
      <c r="A26" s="23"/>
      <c r="B26" s="24"/>
      <c r="C26" s="24"/>
      <c r="D26" s="24"/>
      <c r="E26" s="24"/>
      <c r="F26" s="24"/>
      <c r="G26" s="24"/>
      <c r="H26" s="24"/>
      <c r="I26" s="24"/>
      <c r="J26" s="24"/>
      <c r="K26" s="24"/>
    </row>
    <row r="27" spans="1:12" x14ac:dyDescent="0.3">
      <c r="A27" s="23"/>
      <c r="B27" s="24"/>
      <c r="C27" s="24"/>
      <c r="D27" s="24"/>
      <c r="E27" s="24"/>
      <c r="F27" s="24"/>
      <c r="G27" s="24"/>
      <c r="H27" s="24"/>
      <c r="I27" s="24"/>
      <c r="J27" s="24"/>
      <c r="K27" s="24"/>
    </row>
    <row r="28" spans="1:12" x14ac:dyDescent="0.3">
      <c r="A28" s="23"/>
      <c r="B28" s="24"/>
      <c r="C28" s="24"/>
      <c r="D28" s="24"/>
      <c r="E28" s="24"/>
      <c r="F28" s="24"/>
      <c r="G28" s="24"/>
      <c r="H28" s="24"/>
      <c r="I28" s="24"/>
      <c r="J28" s="24"/>
      <c r="K28" s="24"/>
    </row>
    <row r="29" spans="1:12" x14ac:dyDescent="0.3">
      <c r="A29" s="23"/>
      <c r="B29" s="24"/>
      <c r="C29" s="24"/>
      <c r="D29" s="24"/>
      <c r="E29" s="24"/>
      <c r="F29" s="24"/>
      <c r="G29" s="24"/>
      <c r="H29" s="24"/>
      <c r="I29" s="24"/>
      <c r="J29" s="24"/>
      <c r="K29" s="24"/>
    </row>
    <row r="30" spans="1:12" x14ac:dyDescent="0.3">
      <c r="A30" s="23"/>
      <c r="B30" s="24"/>
      <c r="C30" s="24"/>
      <c r="D30" s="24"/>
      <c r="E30" s="24"/>
      <c r="F30" s="24"/>
      <c r="G30" s="24"/>
      <c r="H30" s="24"/>
      <c r="I30" s="24"/>
      <c r="J30" s="24"/>
      <c r="K30" s="24"/>
    </row>
    <row r="31" spans="1:12" x14ac:dyDescent="0.3">
      <c r="A31" s="23"/>
      <c r="B31" s="24"/>
      <c r="C31" s="24"/>
      <c r="D31" s="24"/>
      <c r="E31" s="24"/>
      <c r="F31" s="24"/>
      <c r="G31" s="24"/>
      <c r="H31" s="24"/>
      <c r="I31" s="24"/>
      <c r="J31" s="24"/>
      <c r="K31" s="24"/>
    </row>
    <row r="32" spans="1:12" x14ac:dyDescent="0.3">
      <c r="A32" s="23"/>
      <c r="B32" s="24"/>
      <c r="C32" s="24"/>
      <c r="D32" s="24"/>
      <c r="E32" s="24"/>
      <c r="F32" s="24"/>
      <c r="G32" s="24"/>
      <c r="H32" s="24"/>
      <c r="I32" s="24"/>
      <c r="J32" s="24"/>
      <c r="K32" s="24"/>
    </row>
    <row r="33" spans="1:11" x14ac:dyDescent="0.3">
      <c r="A33" s="23"/>
      <c r="B33" s="24"/>
      <c r="C33" s="24"/>
      <c r="D33" s="24"/>
      <c r="E33" s="24"/>
      <c r="F33" s="24"/>
      <c r="G33" s="24"/>
      <c r="H33" s="24"/>
      <c r="I33" s="24"/>
      <c r="J33" s="24"/>
      <c r="K33" s="24"/>
    </row>
    <row r="34" spans="1:11" x14ac:dyDescent="0.3">
      <c r="A34" s="23"/>
      <c r="B34" s="24"/>
      <c r="C34" s="24"/>
      <c r="D34" s="24"/>
      <c r="E34" s="24"/>
      <c r="F34" s="24"/>
      <c r="G34" s="24"/>
      <c r="H34" s="24"/>
      <c r="I34" s="24"/>
      <c r="J34" s="24"/>
      <c r="K34" s="24"/>
    </row>
    <row r="35" spans="1:11" x14ac:dyDescent="0.3">
      <c r="A35" s="23"/>
      <c r="B35" s="24"/>
      <c r="C35" s="24"/>
      <c r="D35" s="24"/>
      <c r="E35" s="24"/>
      <c r="F35" s="24"/>
      <c r="G35" s="24"/>
      <c r="H35" s="24"/>
      <c r="I35" s="24"/>
      <c r="J35" s="24"/>
      <c r="K35" s="24"/>
    </row>
    <row r="36" spans="1:11" x14ac:dyDescent="0.3">
      <c r="A36" s="23"/>
      <c r="B36" s="24"/>
      <c r="C36" s="24"/>
      <c r="D36" s="24"/>
      <c r="E36" s="24"/>
      <c r="F36" s="24"/>
      <c r="G36" s="24"/>
      <c r="H36" s="24"/>
      <c r="I36" s="24"/>
      <c r="J36" s="24"/>
      <c r="K36" s="24"/>
    </row>
    <row r="37" spans="1:11" x14ac:dyDescent="0.3">
      <c r="A37" s="23"/>
      <c r="B37" s="24"/>
      <c r="C37" s="24"/>
      <c r="D37" s="24"/>
      <c r="E37" s="24"/>
      <c r="F37" s="24"/>
      <c r="G37" s="24"/>
      <c r="H37" s="24"/>
      <c r="I37" s="24"/>
      <c r="J37" s="24"/>
      <c r="K37" s="24"/>
    </row>
    <row r="38" spans="1:11" x14ac:dyDescent="0.3">
      <c r="A38" s="23"/>
      <c r="B38" s="24"/>
      <c r="C38" s="24"/>
      <c r="D38" s="24"/>
      <c r="E38" s="24"/>
      <c r="F38" s="24"/>
      <c r="G38" s="24"/>
      <c r="H38" s="24"/>
      <c r="I38" s="24"/>
      <c r="J38" s="24"/>
      <c r="K38" s="24"/>
    </row>
    <row r="39" spans="1:11" x14ac:dyDescent="0.3">
      <c r="A39" s="23"/>
      <c r="B39" s="24"/>
      <c r="C39" s="24"/>
      <c r="D39" s="24"/>
      <c r="E39" s="24"/>
      <c r="F39" s="24"/>
      <c r="G39" s="24"/>
      <c r="H39" s="24"/>
      <c r="I39" s="24"/>
      <c r="J39" s="24"/>
      <c r="K39" s="24"/>
    </row>
    <row r="40" spans="1:11" x14ac:dyDescent="0.3">
      <c r="A40" s="23"/>
      <c r="B40" s="24"/>
      <c r="C40" s="24"/>
      <c r="D40" s="24"/>
      <c r="E40" s="24"/>
      <c r="F40" s="24"/>
      <c r="G40" s="24"/>
      <c r="H40" s="24"/>
      <c r="I40" s="24"/>
      <c r="J40" s="24"/>
      <c r="K40" s="24"/>
    </row>
    <row r="41" spans="1:11" x14ac:dyDescent="0.3">
      <c r="A41" s="23"/>
      <c r="B41" s="24"/>
      <c r="C41" s="24"/>
      <c r="D41" s="24"/>
      <c r="E41" s="24"/>
      <c r="F41" s="24"/>
      <c r="G41" s="24"/>
      <c r="H41" s="24"/>
      <c r="I41" s="24"/>
      <c r="J41" s="24"/>
      <c r="K41" s="24"/>
    </row>
    <row r="42" spans="1:11" x14ac:dyDescent="0.3">
      <c r="A42" s="23"/>
      <c r="B42" s="24"/>
      <c r="C42" s="24"/>
      <c r="D42" s="24"/>
      <c r="E42" s="24"/>
      <c r="F42" s="24"/>
      <c r="G42" s="24"/>
      <c r="H42" s="24"/>
      <c r="I42" s="24"/>
      <c r="J42" s="24"/>
      <c r="K42" s="24"/>
    </row>
    <row r="43" spans="1:11" x14ac:dyDescent="0.3">
      <c r="A43" s="23"/>
      <c r="B43" s="24"/>
      <c r="C43" s="24"/>
      <c r="D43" s="24"/>
      <c r="E43" s="24"/>
      <c r="F43" s="24"/>
      <c r="G43" s="24"/>
      <c r="H43" s="24"/>
      <c r="I43" s="24"/>
      <c r="J43" s="24"/>
      <c r="K43" s="24"/>
    </row>
    <row r="44" spans="1:11" x14ac:dyDescent="0.3">
      <c r="A44" s="23"/>
      <c r="B44" s="24"/>
      <c r="C44" s="24"/>
      <c r="D44" s="24"/>
      <c r="E44" s="24"/>
      <c r="F44" s="24"/>
      <c r="G44" s="24"/>
      <c r="H44" s="24"/>
      <c r="I44" s="24"/>
      <c r="J44" s="24"/>
      <c r="K44" s="24"/>
    </row>
    <row r="45" spans="1:11" x14ac:dyDescent="0.3">
      <c r="A45" s="23"/>
      <c r="B45" s="24"/>
      <c r="C45" s="24"/>
      <c r="D45" s="24"/>
      <c r="E45" s="24"/>
      <c r="F45" s="24"/>
      <c r="G45" s="24"/>
      <c r="H45" s="24"/>
      <c r="I45" s="24"/>
      <c r="J45" s="24"/>
      <c r="K45" s="24"/>
    </row>
    <row r="46" spans="1:11" x14ac:dyDescent="0.3">
      <c r="A46" s="23"/>
      <c r="B46" s="24"/>
      <c r="C46" s="24"/>
      <c r="D46" s="24"/>
      <c r="E46" s="24"/>
      <c r="F46" s="24"/>
      <c r="G46" s="24"/>
      <c r="H46" s="24"/>
      <c r="I46" s="24"/>
      <c r="J46" s="24"/>
      <c r="K46" s="24"/>
    </row>
    <row r="47" spans="1:11" x14ac:dyDescent="0.3">
      <c r="A47" s="23"/>
      <c r="B47" s="24"/>
      <c r="C47" s="24"/>
      <c r="D47" s="24"/>
      <c r="E47" s="24"/>
      <c r="F47" s="24"/>
      <c r="G47" s="24"/>
      <c r="H47" s="24"/>
      <c r="I47" s="24"/>
      <c r="J47" s="24"/>
      <c r="K47" s="24"/>
    </row>
    <row r="48" spans="1:11" x14ac:dyDescent="0.3">
      <c r="A48" s="23"/>
      <c r="B48" s="24"/>
      <c r="C48" s="24"/>
      <c r="D48" s="24"/>
      <c r="E48" s="24"/>
      <c r="F48" s="24"/>
      <c r="G48" s="24"/>
      <c r="H48" s="24"/>
      <c r="I48" s="24"/>
      <c r="J48" s="24"/>
      <c r="K48" s="24"/>
    </row>
    <row r="49" spans="1:11" x14ac:dyDescent="0.3">
      <c r="A49" s="23"/>
      <c r="B49" s="24"/>
      <c r="C49" s="24"/>
      <c r="D49" s="24"/>
      <c r="E49" s="24"/>
      <c r="F49" s="24"/>
      <c r="G49" s="24"/>
      <c r="H49" s="24"/>
      <c r="I49" s="24"/>
      <c r="J49" s="24"/>
      <c r="K49" s="24"/>
    </row>
    <row r="50" spans="1:11" x14ac:dyDescent="0.3">
      <c r="A50" s="23"/>
      <c r="B50" s="24"/>
      <c r="C50" s="24"/>
      <c r="D50" s="24"/>
      <c r="E50" s="24"/>
      <c r="F50" s="24"/>
      <c r="G50" s="24"/>
      <c r="H50" s="24"/>
      <c r="I50" s="24"/>
      <c r="J50" s="24"/>
      <c r="K50" s="24"/>
    </row>
    <row r="51" spans="1:11" x14ac:dyDescent="0.3">
      <c r="A51" s="23"/>
      <c r="B51" s="24"/>
      <c r="C51" s="24"/>
      <c r="D51" s="24"/>
      <c r="E51" s="24"/>
      <c r="F51" s="24"/>
      <c r="G51" s="24"/>
      <c r="H51" s="24"/>
      <c r="I51" s="24"/>
      <c r="J51" s="24"/>
      <c r="K51" s="24"/>
    </row>
    <row r="52" spans="1:11" x14ac:dyDescent="0.3">
      <c r="A52" s="23"/>
      <c r="B52" s="24"/>
      <c r="C52" s="24"/>
      <c r="D52" s="24"/>
      <c r="E52" s="24"/>
      <c r="F52" s="24"/>
      <c r="G52" s="24"/>
      <c r="H52" s="24"/>
      <c r="I52" s="24"/>
      <c r="J52" s="24"/>
      <c r="K52" s="24"/>
    </row>
    <row r="53" spans="1:11" x14ac:dyDescent="0.3">
      <c r="A53" s="23"/>
      <c r="B53" s="24"/>
      <c r="C53" s="24"/>
      <c r="D53" s="24"/>
      <c r="E53" s="24"/>
      <c r="F53" s="24"/>
      <c r="G53" s="24"/>
      <c r="H53" s="24"/>
      <c r="I53" s="24"/>
      <c r="J53" s="24"/>
      <c r="K53" s="24"/>
    </row>
    <row r="54" spans="1:11" x14ac:dyDescent="0.3">
      <c r="A54" s="23"/>
      <c r="B54" s="24"/>
      <c r="C54" s="24"/>
      <c r="D54" s="24"/>
      <c r="E54" s="24"/>
      <c r="F54" s="24"/>
      <c r="G54" s="24"/>
      <c r="H54" s="24"/>
      <c r="I54" s="24"/>
      <c r="J54" s="24"/>
      <c r="K54" s="24"/>
    </row>
    <row r="55" spans="1:11" x14ac:dyDescent="0.3">
      <c r="A55" s="23"/>
      <c r="B55" s="24"/>
      <c r="C55" s="24"/>
      <c r="D55" s="24"/>
      <c r="E55" s="24"/>
      <c r="F55" s="24"/>
      <c r="G55" s="24"/>
      <c r="H55" s="24"/>
      <c r="I55" s="24"/>
      <c r="J55" s="24"/>
      <c r="K55" s="24"/>
    </row>
    <row r="56" spans="1:11" x14ac:dyDescent="0.3">
      <c r="A56" s="23"/>
      <c r="B56" s="24"/>
      <c r="C56" s="24"/>
      <c r="D56" s="24"/>
      <c r="E56" s="24"/>
      <c r="F56" s="24"/>
      <c r="G56" s="24"/>
      <c r="H56" s="24"/>
      <c r="I56" s="24"/>
      <c r="J56" s="24"/>
      <c r="K56" s="24"/>
    </row>
    <row r="57" spans="1:11" x14ac:dyDescent="0.3">
      <c r="A57" s="23"/>
      <c r="B57" s="24"/>
      <c r="C57" s="24"/>
      <c r="D57" s="24"/>
      <c r="E57" s="24"/>
      <c r="F57" s="24"/>
      <c r="G57" s="24"/>
      <c r="H57" s="24"/>
      <c r="I57" s="24"/>
      <c r="J57" s="24"/>
      <c r="K57" s="24"/>
    </row>
    <row r="58" spans="1:11" x14ac:dyDescent="0.3">
      <c r="A58" s="23"/>
      <c r="B58" s="24"/>
      <c r="C58" s="24"/>
      <c r="D58" s="24"/>
      <c r="E58" s="24"/>
      <c r="F58" s="24"/>
      <c r="G58" s="24"/>
      <c r="H58" s="24"/>
      <c r="I58" s="24"/>
      <c r="J58" s="24"/>
      <c r="K58" s="24"/>
    </row>
    <row r="59" spans="1:11" x14ac:dyDescent="0.3">
      <c r="A59" s="23"/>
      <c r="B59" s="24"/>
      <c r="C59" s="24"/>
      <c r="D59" s="24"/>
      <c r="E59" s="24"/>
      <c r="F59" s="24"/>
      <c r="G59" s="24"/>
      <c r="H59" s="24"/>
      <c r="I59" s="24"/>
      <c r="J59" s="24"/>
      <c r="K59" s="24"/>
    </row>
    <row r="60" spans="1:11" x14ac:dyDescent="0.3">
      <c r="A60" s="23"/>
      <c r="B60" s="24"/>
      <c r="C60" s="24"/>
      <c r="D60" s="24"/>
      <c r="E60" s="24"/>
      <c r="F60" s="24"/>
      <c r="G60" s="24"/>
      <c r="H60" s="24"/>
      <c r="I60" s="24"/>
      <c r="J60" s="24"/>
      <c r="K60" s="24"/>
    </row>
    <row r="61" spans="1:11" x14ac:dyDescent="0.3">
      <c r="A61" s="23"/>
      <c r="B61" s="24"/>
      <c r="C61" s="24"/>
      <c r="D61" s="24"/>
      <c r="E61" s="24"/>
      <c r="F61" s="24"/>
      <c r="G61" s="24"/>
      <c r="H61" s="24"/>
      <c r="I61" s="24"/>
      <c r="J61" s="24"/>
      <c r="K61" s="24"/>
    </row>
    <row r="62" spans="1:11" x14ac:dyDescent="0.3">
      <c r="A62" s="23"/>
      <c r="B62" s="24"/>
      <c r="C62" s="24"/>
      <c r="D62" s="24"/>
      <c r="E62" s="24"/>
      <c r="F62" s="24"/>
      <c r="G62" s="24"/>
      <c r="H62" s="24"/>
      <c r="I62" s="24"/>
      <c r="J62" s="24"/>
      <c r="K62" s="24"/>
    </row>
    <row r="63" spans="1:11" x14ac:dyDescent="0.3">
      <c r="A63" s="23"/>
      <c r="B63" s="24"/>
      <c r="C63" s="24"/>
      <c r="D63" s="24"/>
      <c r="E63" s="24"/>
      <c r="F63" s="24"/>
      <c r="G63" s="24"/>
      <c r="H63" s="24"/>
      <c r="I63" s="24"/>
      <c r="J63" s="24"/>
      <c r="K63" s="24"/>
    </row>
    <row r="64" spans="1:11" x14ac:dyDescent="0.3">
      <c r="A64" s="23"/>
      <c r="B64" s="24"/>
      <c r="C64" s="24"/>
      <c r="D64" s="24"/>
      <c r="E64" s="24"/>
      <c r="F64" s="24"/>
      <c r="G64" s="24"/>
      <c r="H64" s="24"/>
      <c r="I64" s="24"/>
      <c r="J64" s="24"/>
      <c r="K64" s="24"/>
    </row>
    <row r="65" spans="1:11" x14ac:dyDescent="0.3">
      <c r="A65" s="23"/>
      <c r="B65" s="24"/>
      <c r="C65" s="24"/>
      <c r="D65" s="24"/>
      <c r="E65" s="24"/>
      <c r="F65" s="24"/>
      <c r="G65" s="24"/>
      <c r="H65" s="24"/>
      <c r="I65" s="24"/>
      <c r="J65" s="24"/>
      <c r="K65" s="24"/>
    </row>
    <row r="66" spans="1:11" x14ac:dyDescent="0.3">
      <c r="A66" s="23"/>
      <c r="B66" s="24"/>
      <c r="C66" s="24"/>
      <c r="D66" s="24"/>
      <c r="E66" s="24"/>
      <c r="F66" s="24"/>
      <c r="G66" s="24"/>
      <c r="H66" s="24"/>
      <c r="I66" s="24"/>
      <c r="J66" s="24"/>
      <c r="K66" s="24"/>
    </row>
    <row r="67" spans="1:11" x14ac:dyDescent="0.3">
      <c r="A67" s="23"/>
      <c r="B67" s="24"/>
      <c r="C67" s="24"/>
      <c r="D67" s="24"/>
      <c r="E67" s="24"/>
      <c r="F67" s="24"/>
      <c r="G67" s="24"/>
      <c r="H67" s="24"/>
      <c r="I67" s="24"/>
      <c r="J67" s="24"/>
      <c r="K67" s="24"/>
    </row>
    <row r="68" spans="1:11" x14ac:dyDescent="0.3">
      <c r="A68" s="23"/>
      <c r="B68" s="24"/>
      <c r="C68" s="24"/>
      <c r="D68" s="24"/>
      <c r="E68" s="24"/>
      <c r="F68" s="24"/>
      <c r="G68" s="24"/>
      <c r="H68" s="24"/>
      <c r="I68" s="24"/>
      <c r="J68" s="24"/>
      <c r="K68" s="24"/>
    </row>
    <row r="69" spans="1:11" x14ac:dyDescent="0.3">
      <c r="A69" s="23"/>
      <c r="B69" s="24"/>
      <c r="C69" s="24"/>
      <c r="D69" s="24"/>
      <c r="E69" s="24"/>
      <c r="F69" s="24"/>
      <c r="G69" s="24"/>
      <c r="H69" s="24"/>
      <c r="I69" s="24"/>
      <c r="J69" s="24"/>
      <c r="K69" s="24"/>
    </row>
    <row r="70" spans="1:11" x14ac:dyDescent="0.3">
      <c r="A70" s="23"/>
      <c r="B70" s="24"/>
      <c r="C70" s="24"/>
      <c r="D70" s="24"/>
      <c r="E70" s="24"/>
      <c r="F70" s="24"/>
      <c r="G70" s="24"/>
      <c r="H70" s="24"/>
      <c r="I70" s="24"/>
      <c r="J70" s="24"/>
      <c r="K70" s="24"/>
    </row>
    <row r="71" spans="1:11" x14ac:dyDescent="0.3">
      <c r="A71" s="23"/>
      <c r="B71" s="24"/>
      <c r="C71" s="24"/>
      <c r="D71" s="24"/>
      <c r="E71" s="24"/>
      <c r="F71" s="24"/>
      <c r="G71" s="24"/>
      <c r="H71" s="24"/>
      <c r="I71" s="24"/>
      <c r="J71" s="24"/>
      <c r="K71" s="24"/>
    </row>
    <row r="72" spans="1:11" x14ac:dyDescent="0.3">
      <c r="A72" s="23"/>
      <c r="B72" s="24"/>
      <c r="C72" s="24"/>
      <c r="D72" s="24"/>
      <c r="E72" s="24"/>
      <c r="F72" s="24"/>
      <c r="G72" s="24"/>
      <c r="H72" s="24"/>
      <c r="I72" s="24"/>
      <c r="J72" s="24"/>
      <c r="K72" s="24"/>
    </row>
    <row r="73" spans="1:11" x14ac:dyDescent="0.3">
      <c r="A73" s="23"/>
      <c r="B73" s="24"/>
      <c r="C73" s="24"/>
      <c r="D73" s="24"/>
      <c r="E73" s="24"/>
      <c r="F73" s="24"/>
      <c r="G73" s="24"/>
      <c r="H73" s="24"/>
      <c r="I73" s="24"/>
      <c r="J73" s="24"/>
      <c r="K73" s="24"/>
    </row>
    <row r="74" spans="1:11" s="31" customFormat="1" x14ac:dyDescent="0.3"/>
    <row r="75" spans="1:11" s="31" customFormat="1" x14ac:dyDescent="0.3"/>
    <row r="76" spans="1:11" s="31" customFormat="1" x14ac:dyDescent="0.3"/>
    <row r="77" spans="1:11" s="31" customFormat="1" x14ac:dyDescent="0.3"/>
    <row r="78" spans="1:11" s="31" customFormat="1" x14ac:dyDescent="0.3"/>
    <row r="79" spans="1:11" s="31" customFormat="1" x14ac:dyDescent="0.3"/>
    <row r="80" spans="1:11" s="31" customFormat="1" x14ac:dyDescent="0.3"/>
    <row r="81" s="31" customFormat="1" x14ac:dyDescent="0.3"/>
    <row r="82" s="31" customFormat="1" x14ac:dyDescent="0.3"/>
    <row r="83" s="31" customFormat="1" x14ac:dyDescent="0.3"/>
    <row r="84" s="31" customFormat="1" x14ac:dyDescent="0.3"/>
    <row r="85" s="31" customFormat="1" x14ac:dyDescent="0.3"/>
    <row r="86" s="31" customFormat="1" x14ac:dyDescent="0.3"/>
    <row r="87" s="31" customFormat="1" x14ac:dyDescent="0.3"/>
    <row r="88" s="31" customFormat="1" x14ac:dyDescent="0.3"/>
    <row r="89" s="31" customFormat="1" x14ac:dyDescent="0.3"/>
    <row r="90" s="31" customFormat="1" x14ac:dyDescent="0.3"/>
    <row r="91" s="31" customFormat="1" x14ac:dyDescent="0.3"/>
    <row r="92" s="31" customFormat="1" x14ac:dyDescent="0.3"/>
    <row r="93" s="31" customFormat="1" x14ac:dyDescent="0.3"/>
    <row r="94" s="31" customFormat="1" x14ac:dyDescent="0.3"/>
    <row r="95" s="31" customFormat="1" x14ac:dyDescent="0.3"/>
    <row r="96" s="31" customFormat="1" x14ac:dyDescent="0.3"/>
    <row r="97" s="31" customFormat="1" x14ac:dyDescent="0.3"/>
    <row r="98" s="31" customFormat="1" x14ac:dyDescent="0.3"/>
    <row r="99" s="31" customFormat="1" x14ac:dyDescent="0.3"/>
    <row r="100" s="31" customFormat="1" x14ac:dyDescent="0.3"/>
    <row r="101" s="31" customFormat="1" x14ac:dyDescent="0.3"/>
    <row r="102" s="31" customFormat="1" x14ac:dyDescent="0.3"/>
    <row r="103" s="31" customFormat="1" x14ac:dyDescent="0.3"/>
    <row r="104" s="31" customFormat="1" x14ac:dyDescent="0.3"/>
    <row r="105" s="31" customFormat="1" x14ac:dyDescent="0.3"/>
    <row r="106" s="31" customFormat="1" x14ac:dyDescent="0.3"/>
    <row r="107" s="31" customFormat="1" x14ac:dyDescent="0.3"/>
    <row r="108" s="31" customFormat="1" x14ac:dyDescent="0.3"/>
    <row r="109" s="31" customFormat="1" x14ac:dyDescent="0.3"/>
    <row r="110" s="31" customFormat="1" x14ac:dyDescent="0.3"/>
    <row r="111" s="31" customFormat="1" x14ac:dyDescent="0.3"/>
    <row r="112" s="31" customFormat="1" x14ac:dyDescent="0.3"/>
    <row r="113" s="31" customFormat="1" x14ac:dyDescent="0.3"/>
    <row r="114" s="31" customFormat="1" x14ac:dyDescent="0.3"/>
    <row r="115" s="31" customFormat="1" x14ac:dyDescent="0.3"/>
    <row r="116" s="31" customFormat="1" x14ac:dyDescent="0.3"/>
    <row r="117" s="31" customFormat="1" x14ac:dyDescent="0.3"/>
    <row r="118" s="31" customFormat="1" x14ac:dyDescent="0.3"/>
    <row r="119" s="31" customFormat="1" x14ac:dyDescent="0.3"/>
    <row r="120" s="31" customFormat="1" x14ac:dyDescent="0.3"/>
    <row r="121" s="31" customFormat="1" x14ac:dyDescent="0.3"/>
    <row r="122" s="31" customFormat="1" x14ac:dyDescent="0.3"/>
    <row r="123" s="31" customFormat="1" x14ac:dyDescent="0.3"/>
    <row r="124" s="31" customFormat="1" x14ac:dyDescent="0.3"/>
    <row r="125" s="31" customFormat="1" x14ac:dyDescent="0.3"/>
    <row r="126" s="31" customFormat="1" x14ac:dyDescent="0.3"/>
    <row r="127" s="31" customFormat="1" x14ac:dyDescent="0.3"/>
    <row r="128" s="31" customFormat="1" x14ac:dyDescent="0.3"/>
    <row r="129" s="31" customFormat="1" x14ac:dyDescent="0.3"/>
    <row r="130" s="31" customFormat="1" x14ac:dyDescent="0.3"/>
    <row r="131" s="31" customFormat="1" x14ac:dyDescent="0.3"/>
    <row r="132" s="31" customFormat="1" x14ac:dyDescent="0.3"/>
    <row r="133" s="31" customFormat="1" x14ac:dyDescent="0.3"/>
    <row r="134" s="31" customFormat="1" x14ac:dyDescent="0.3"/>
    <row r="135" s="31" customFormat="1" x14ac:dyDescent="0.3"/>
    <row r="136" s="31" customFormat="1" x14ac:dyDescent="0.3"/>
    <row r="137" s="31" customFormat="1" x14ac:dyDescent="0.3"/>
    <row r="138" s="31" customFormat="1" x14ac:dyDescent="0.3"/>
    <row r="139" s="31" customFormat="1" x14ac:dyDescent="0.3"/>
    <row r="140" s="31" customFormat="1" x14ac:dyDescent="0.3"/>
    <row r="141" s="31" customFormat="1" x14ac:dyDescent="0.3"/>
    <row r="142" s="31" customFormat="1" x14ac:dyDescent="0.3"/>
    <row r="143" s="31" customFormat="1" x14ac:dyDescent="0.3"/>
    <row r="144" s="31" customFormat="1" x14ac:dyDescent="0.3"/>
    <row r="145" s="31" customFormat="1" x14ac:dyDescent="0.3"/>
    <row r="146" s="31" customFormat="1" x14ac:dyDescent="0.3"/>
    <row r="147" s="31" customFormat="1" x14ac:dyDescent="0.3"/>
    <row r="148" s="31" customFormat="1" x14ac:dyDescent="0.3"/>
    <row r="149" s="31" customFormat="1" x14ac:dyDescent="0.3"/>
    <row r="150" s="31" customFormat="1" x14ac:dyDescent="0.3"/>
    <row r="151" s="31" customFormat="1" x14ac:dyDescent="0.3"/>
    <row r="152" s="31" customFormat="1" x14ac:dyDescent="0.3"/>
    <row r="153" s="31" customFormat="1" x14ac:dyDescent="0.3"/>
    <row r="154" s="31" customFormat="1" x14ac:dyDescent="0.3"/>
    <row r="155" s="31" customFormat="1" x14ac:dyDescent="0.3"/>
    <row r="156" s="31" customFormat="1" x14ac:dyDescent="0.3"/>
    <row r="157" s="31" customFormat="1" x14ac:dyDescent="0.3"/>
    <row r="158" s="31" customFormat="1" x14ac:dyDescent="0.3"/>
    <row r="159" s="31" customFormat="1" x14ac:dyDescent="0.3"/>
    <row r="160" s="31" customFormat="1" x14ac:dyDescent="0.3"/>
    <row r="161" s="31" customFormat="1" x14ac:dyDescent="0.3"/>
    <row r="162" s="31" customFormat="1" x14ac:dyDescent="0.3"/>
    <row r="163" s="31" customFormat="1" x14ac:dyDescent="0.3"/>
    <row r="164" s="31" customFormat="1" x14ac:dyDescent="0.3"/>
    <row r="165" s="31" customFormat="1" x14ac:dyDescent="0.3"/>
    <row r="166" s="31" customFormat="1" x14ac:dyDescent="0.3"/>
    <row r="167" s="31" customFormat="1" x14ac:dyDescent="0.3"/>
    <row r="168" s="31" customFormat="1" x14ac:dyDescent="0.3"/>
    <row r="169" s="31" customFormat="1" x14ac:dyDescent="0.3"/>
    <row r="170" s="31" customFormat="1" x14ac:dyDescent="0.3"/>
    <row r="171" s="31" customFormat="1" x14ac:dyDescent="0.3"/>
    <row r="172" s="31" customFormat="1" x14ac:dyDescent="0.3"/>
    <row r="173" s="31" customFormat="1" x14ac:dyDescent="0.3"/>
    <row r="174" s="31" customFormat="1" x14ac:dyDescent="0.3"/>
    <row r="175" s="31" customFormat="1" x14ac:dyDescent="0.3"/>
    <row r="176" s="31" customFormat="1" x14ac:dyDescent="0.3"/>
    <row r="177" s="31" customFormat="1" x14ac:dyDescent="0.3"/>
    <row r="178" s="31" customFormat="1" x14ac:dyDescent="0.3"/>
    <row r="179" s="31" customFormat="1" x14ac:dyDescent="0.3"/>
    <row r="180" s="31" customFormat="1" x14ac:dyDescent="0.3"/>
    <row r="181" s="31" customFormat="1" x14ac:dyDescent="0.3"/>
    <row r="182" s="31" customFormat="1" x14ac:dyDescent="0.3"/>
    <row r="183" s="31" customFormat="1" x14ac:dyDescent="0.3"/>
    <row r="184" s="31" customFormat="1" x14ac:dyDescent="0.3"/>
    <row r="185" s="31" customFormat="1" x14ac:dyDescent="0.3"/>
    <row r="186" s="31" customFormat="1" x14ac:dyDescent="0.3"/>
    <row r="187" s="31" customFormat="1" x14ac:dyDescent="0.3"/>
    <row r="188" s="31" customFormat="1" x14ac:dyDescent="0.3"/>
    <row r="189" s="31" customFormat="1" x14ac:dyDescent="0.3"/>
    <row r="190" s="31" customFormat="1" x14ac:dyDescent="0.3"/>
    <row r="191" s="31" customFormat="1" x14ac:dyDescent="0.3"/>
    <row r="192" s="31" customFormat="1" x14ac:dyDescent="0.3"/>
    <row r="193" s="31" customFormat="1" x14ac:dyDescent="0.3"/>
    <row r="194" s="31" customFormat="1" x14ac:dyDescent="0.3"/>
    <row r="195" s="31" customFormat="1" x14ac:dyDescent="0.3"/>
    <row r="196" s="31" customFormat="1" x14ac:dyDescent="0.3"/>
    <row r="197" s="31" customFormat="1" x14ac:dyDescent="0.3"/>
    <row r="198" s="31" customFormat="1" x14ac:dyDescent="0.3"/>
    <row r="199" s="31" customFormat="1" x14ac:dyDescent="0.3"/>
    <row r="200" s="31" customFormat="1" x14ac:dyDescent="0.3"/>
    <row r="201" s="31" customFormat="1" x14ac:dyDescent="0.3"/>
    <row r="202" s="31" customFormat="1" x14ac:dyDescent="0.3"/>
    <row r="203" s="31" customFormat="1" x14ac:dyDescent="0.3"/>
    <row r="204" s="31" customFormat="1" x14ac:dyDescent="0.3"/>
    <row r="205" s="31" customFormat="1" x14ac:dyDescent="0.3"/>
    <row r="206" s="31" customFormat="1" x14ac:dyDescent="0.3"/>
    <row r="207" s="31" customFormat="1" x14ac:dyDescent="0.3"/>
    <row r="208" s="31" customFormat="1" x14ac:dyDescent="0.3"/>
    <row r="209" s="31" customFormat="1" x14ac:dyDescent="0.3"/>
    <row r="210" s="31" customFormat="1" x14ac:dyDescent="0.3"/>
    <row r="211" s="31" customFormat="1" x14ac:dyDescent="0.3"/>
    <row r="212" s="31" customFormat="1" x14ac:dyDescent="0.3"/>
    <row r="213" s="31" customFormat="1" x14ac:dyDescent="0.3"/>
    <row r="214" s="31" customFormat="1" x14ac:dyDescent="0.3"/>
    <row r="215" s="31" customFormat="1" x14ac:dyDescent="0.3"/>
    <row r="216" s="31" customFormat="1" x14ac:dyDescent="0.3"/>
    <row r="217" s="31" customFormat="1" x14ac:dyDescent="0.3"/>
    <row r="218" s="31" customFormat="1" x14ac:dyDescent="0.3"/>
    <row r="219" s="31" customFormat="1" x14ac:dyDescent="0.3"/>
    <row r="220" s="31" customFormat="1" x14ac:dyDescent="0.3"/>
    <row r="221" s="31" customFormat="1" x14ac:dyDescent="0.3"/>
    <row r="222" s="31" customFormat="1" x14ac:dyDescent="0.3"/>
    <row r="223" s="31" customFormat="1" x14ac:dyDescent="0.3"/>
    <row r="224" s="31" customFormat="1" x14ac:dyDescent="0.3"/>
    <row r="225" s="31" customFormat="1" x14ac:dyDescent="0.3"/>
    <row r="226" s="31" customFormat="1" x14ac:dyDescent="0.3"/>
    <row r="227" s="31" customFormat="1" x14ac:dyDescent="0.3"/>
    <row r="228" s="31" customFormat="1" x14ac:dyDescent="0.3"/>
    <row r="229" s="31" customFormat="1" x14ac:dyDescent="0.3"/>
    <row r="230" s="31" customFormat="1" x14ac:dyDescent="0.3"/>
    <row r="231" s="31" customFormat="1" x14ac:dyDescent="0.3"/>
    <row r="232" s="31" customFormat="1" x14ac:dyDescent="0.3"/>
    <row r="233" s="31" customFormat="1" x14ac:dyDescent="0.3"/>
    <row r="234" s="31" customFormat="1" x14ac:dyDescent="0.3"/>
    <row r="235" s="31" customFormat="1" x14ac:dyDescent="0.3"/>
    <row r="236" s="31" customFormat="1" x14ac:dyDescent="0.3"/>
    <row r="237" s="31" customFormat="1" x14ac:dyDescent="0.3"/>
    <row r="238" s="31" customFormat="1" x14ac:dyDescent="0.3"/>
    <row r="239" s="31" customFormat="1" x14ac:dyDescent="0.3"/>
    <row r="240" s="31" customFormat="1" x14ac:dyDescent="0.3"/>
    <row r="241" s="31" customFormat="1" x14ac:dyDescent="0.3"/>
    <row r="242" s="31" customFormat="1" x14ac:dyDescent="0.3"/>
    <row r="243" s="31" customFormat="1" x14ac:dyDescent="0.3"/>
    <row r="244" s="31" customFormat="1" x14ac:dyDescent="0.3"/>
    <row r="245" s="31" customFormat="1" x14ac:dyDescent="0.3"/>
    <row r="246" s="31" customFormat="1" x14ac:dyDescent="0.3"/>
    <row r="247" s="31" customFormat="1" x14ac:dyDescent="0.3"/>
    <row r="248" s="31" customFormat="1" x14ac:dyDescent="0.3"/>
    <row r="249" s="31" customFormat="1" x14ac:dyDescent="0.3"/>
    <row r="250" s="31" customFormat="1" x14ac:dyDescent="0.3"/>
    <row r="251" s="31" customFormat="1" x14ac:dyDescent="0.3"/>
    <row r="252" s="31" customFormat="1" x14ac:dyDescent="0.3"/>
    <row r="253" s="31" customFormat="1" x14ac:dyDescent="0.3"/>
    <row r="254" s="31" customFormat="1" x14ac:dyDescent="0.3"/>
    <row r="255" s="31" customFormat="1" x14ac:dyDescent="0.3"/>
    <row r="256" s="31" customFormat="1" x14ac:dyDescent="0.3"/>
    <row r="257" s="31" customFormat="1" x14ac:dyDescent="0.3"/>
    <row r="258" s="31" customFormat="1" x14ac:dyDescent="0.3"/>
    <row r="259" s="31" customFormat="1" x14ac:dyDescent="0.3"/>
    <row r="260" s="31" customFormat="1" x14ac:dyDescent="0.3"/>
    <row r="261" s="31" customFormat="1" x14ac:dyDescent="0.3"/>
    <row r="262" s="31" customFormat="1" x14ac:dyDescent="0.3"/>
    <row r="263" s="31" customFormat="1" x14ac:dyDescent="0.3"/>
    <row r="264" s="31" customFormat="1" x14ac:dyDescent="0.3"/>
    <row r="265" s="31" customFormat="1" x14ac:dyDescent="0.3"/>
    <row r="266" s="31" customFormat="1" x14ac:dyDescent="0.3"/>
    <row r="267" s="31" customFormat="1" x14ac:dyDescent="0.3"/>
    <row r="268" s="31" customFormat="1" x14ac:dyDescent="0.3"/>
    <row r="269" s="31" customFormat="1" x14ac:dyDescent="0.3"/>
    <row r="270" s="31" customFormat="1" x14ac:dyDescent="0.3"/>
    <row r="271" s="31" customFormat="1" x14ac:dyDescent="0.3"/>
    <row r="272" s="31" customFormat="1" x14ac:dyDescent="0.3"/>
    <row r="273" s="31" customFormat="1" x14ac:dyDescent="0.3"/>
    <row r="274" s="31" customFormat="1" x14ac:dyDescent="0.3"/>
    <row r="275" s="31" customFormat="1" x14ac:dyDescent="0.3"/>
    <row r="276" s="31" customFormat="1" x14ac:dyDescent="0.3"/>
    <row r="277" s="31" customFormat="1" x14ac:dyDescent="0.3"/>
    <row r="278" s="31" customFormat="1" x14ac:dyDescent="0.3"/>
    <row r="279" s="31" customFormat="1" x14ac:dyDescent="0.3"/>
    <row r="280" s="31" customFormat="1" x14ac:dyDescent="0.3"/>
    <row r="281" s="31" customFormat="1" x14ac:dyDescent="0.3"/>
    <row r="282" s="31" customFormat="1" x14ac:dyDescent="0.3"/>
    <row r="283" s="31" customFormat="1" x14ac:dyDescent="0.3"/>
    <row r="284" s="31" customFormat="1" x14ac:dyDescent="0.3"/>
    <row r="285" s="31" customFormat="1" x14ac:dyDescent="0.3"/>
    <row r="286" s="31" customFormat="1" x14ac:dyDescent="0.3"/>
    <row r="287" s="31" customFormat="1" x14ac:dyDescent="0.3"/>
    <row r="288" s="31" customFormat="1" x14ac:dyDescent="0.3"/>
    <row r="289" s="31" customFormat="1" x14ac:dyDescent="0.3"/>
    <row r="290" s="31" customFormat="1" x14ac:dyDescent="0.3"/>
    <row r="291" s="31" customFormat="1" x14ac:dyDescent="0.3"/>
    <row r="292" s="31" customFormat="1" x14ac:dyDescent="0.3"/>
    <row r="293" s="31" customFormat="1" x14ac:dyDescent="0.3"/>
    <row r="294" s="31" customFormat="1" x14ac:dyDescent="0.3"/>
    <row r="295" s="31" customFormat="1" x14ac:dyDescent="0.3"/>
    <row r="296" s="31" customFormat="1" x14ac:dyDescent="0.3"/>
    <row r="297" s="31" customFormat="1" x14ac:dyDescent="0.3"/>
    <row r="298" s="31" customFormat="1" x14ac:dyDescent="0.3"/>
    <row r="299" s="31" customFormat="1" x14ac:dyDescent="0.3"/>
    <row r="300" s="31" customFormat="1" x14ac:dyDescent="0.3"/>
    <row r="301" s="31" customFormat="1" x14ac:dyDescent="0.3"/>
    <row r="302" s="31" customFormat="1" x14ac:dyDescent="0.3"/>
    <row r="303" s="31" customFormat="1" x14ac:dyDescent="0.3"/>
    <row r="304" s="31" customFormat="1" x14ac:dyDescent="0.3"/>
    <row r="305" s="31" customFormat="1" x14ac:dyDescent="0.3"/>
  </sheetData>
  <autoFilter ref="A1:K23"/>
  <pageMargins left="0.75" right="0.75" top="1" bottom="1" header="0.5" footer="0.5"/>
  <customProperties>
    <customPr name="KSheetIndex" r:id="rId1"/>
  </customPropertie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AW203"/>
  <sheetViews>
    <sheetView workbookViewId="0">
      <selection activeCell="J1" sqref="J1"/>
    </sheetView>
  </sheetViews>
  <sheetFormatPr defaultColWidth="9.109375" defaultRowHeight="14.4" x14ac:dyDescent="0.3"/>
  <cols>
    <col min="1" max="1" width="26.5546875" style="17" customWidth="1"/>
    <col min="2" max="2" width="11.88671875" style="17" hidden="1" customWidth="1"/>
    <col min="3" max="3" width="0" style="17" hidden="1" customWidth="1"/>
    <col min="4" max="4" width="33.77734375" style="17" customWidth="1"/>
    <col min="5" max="5" width="20.77734375" style="17" customWidth="1"/>
    <col min="6" max="6" width="39.88671875" style="17" customWidth="1"/>
    <col min="7" max="7" width="9.109375" style="17"/>
    <col min="8" max="8" width="18.33203125" style="17" customWidth="1"/>
    <col min="9" max="9" width="9.109375" style="17"/>
    <col min="10" max="10" width="15.109375" style="17" customWidth="1"/>
    <col min="11" max="49" width="9.109375" style="31"/>
    <col min="50" max="16384" width="9.109375" style="17"/>
  </cols>
  <sheetData>
    <row r="1" spans="1:10" ht="39.6" customHeight="1" thickBot="1" x14ac:dyDescent="0.35">
      <c r="A1" s="27" t="s">
        <v>3</v>
      </c>
      <c r="B1" s="27" t="s">
        <v>4</v>
      </c>
      <c r="C1" s="27" t="s">
        <v>5</v>
      </c>
      <c r="D1" s="27" t="s">
        <v>6</v>
      </c>
      <c r="E1" s="27" t="s">
        <v>7</v>
      </c>
      <c r="F1" s="27" t="s">
        <v>8</v>
      </c>
      <c r="G1" s="27" t="s">
        <v>99</v>
      </c>
      <c r="H1" s="27" t="s">
        <v>110</v>
      </c>
      <c r="I1" s="27" t="s">
        <v>9</v>
      </c>
      <c r="J1" s="27" t="s">
        <v>39</v>
      </c>
    </row>
    <row r="2" spans="1:10" ht="15" thickTop="1" x14ac:dyDescent="0.3">
      <c r="A2" s="21" t="s">
        <v>10</v>
      </c>
      <c r="B2" s="22" t="s">
        <v>10</v>
      </c>
      <c r="C2" s="22"/>
      <c r="D2" s="22" t="s">
        <v>11</v>
      </c>
      <c r="E2" s="22" t="s">
        <v>104</v>
      </c>
      <c r="F2" s="22" t="s">
        <v>115</v>
      </c>
      <c r="G2" s="22">
        <v>0</v>
      </c>
      <c r="H2" s="22" t="s">
        <v>105</v>
      </c>
      <c r="I2" s="22">
        <v>0</v>
      </c>
      <c r="J2" s="22" t="s">
        <v>40</v>
      </c>
    </row>
    <row r="3" spans="1:10" x14ac:dyDescent="0.3">
      <c r="A3" s="23" t="s">
        <v>10</v>
      </c>
      <c r="B3" s="24" t="s">
        <v>10</v>
      </c>
      <c r="C3" s="24"/>
      <c r="D3" s="24" t="s">
        <v>11</v>
      </c>
      <c r="E3" s="24" t="s">
        <v>102</v>
      </c>
      <c r="F3" s="24" t="s">
        <v>116</v>
      </c>
      <c r="G3" s="24">
        <v>0</v>
      </c>
      <c r="H3" s="24" t="s">
        <v>103</v>
      </c>
      <c r="I3" s="24">
        <v>0</v>
      </c>
      <c r="J3" s="24" t="s">
        <v>40</v>
      </c>
    </row>
    <row r="4" spans="1:10" x14ac:dyDescent="0.3">
      <c r="A4" s="23" t="s">
        <v>10</v>
      </c>
      <c r="B4" s="24" t="s">
        <v>10</v>
      </c>
      <c r="C4" s="24"/>
      <c r="D4" s="24" t="s">
        <v>11</v>
      </c>
      <c r="E4" s="24" t="s">
        <v>101</v>
      </c>
      <c r="F4" s="24" t="s">
        <v>117</v>
      </c>
      <c r="G4" s="24">
        <v>0</v>
      </c>
      <c r="H4" s="24" t="s">
        <v>118</v>
      </c>
      <c r="I4" s="24">
        <v>0</v>
      </c>
      <c r="J4" s="24" t="s">
        <v>40</v>
      </c>
    </row>
    <row r="5" spans="1:10" hidden="1" x14ac:dyDescent="0.3">
      <c r="A5" s="23" t="s">
        <v>10</v>
      </c>
      <c r="B5" s="24" t="s">
        <v>10</v>
      </c>
      <c r="C5" s="24"/>
      <c r="D5" s="24" t="s">
        <v>55</v>
      </c>
      <c r="E5" s="24" t="s">
        <v>56</v>
      </c>
      <c r="F5" s="24" t="s">
        <v>119</v>
      </c>
      <c r="G5" s="24">
        <v>0</v>
      </c>
      <c r="H5" s="24" t="s">
        <v>57</v>
      </c>
      <c r="I5" s="24">
        <v>0</v>
      </c>
      <c r="J5" s="24" t="s">
        <v>48</v>
      </c>
    </row>
    <row r="6" spans="1:10" hidden="1" x14ac:dyDescent="0.3">
      <c r="A6" s="23" t="s">
        <v>10</v>
      </c>
      <c r="B6" s="24" t="s">
        <v>10</v>
      </c>
      <c r="C6" s="24"/>
      <c r="D6" s="24" t="s">
        <v>53</v>
      </c>
      <c r="E6" s="24" t="s">
        <v>54</v>
      </c>
      <c r="F6" s="24" t="s">
        <v>120</v>
      </c>
      <c r="G6" s="24">
        <v>0</v>
      </c>
      <c r="H6" s="24" t="s">
        <v>52</v>
      </c>
      <c r="I6" s="24">
        <v>0</v>
      </c>
      <c r="J6" s="24" t="s">
        <v>48</v>
      </c>
    </row>
    <row r="7" spans="1:10" hidden="1" x14ac:dyDescent="0.3">
      <c r="A7" s="23" t="s">
        <v>10</v>
      </c>
      <c r="B7" s="24" t="s">
        <v>10</v>
      </c>
      <c r="C7" s="24"/>
      <c r="D7" s="24" t="s">
        <v>50</v>
      </c>
      <c r="E7" s="24" t="s">
        <v>51</v>
      </c>
      <c r="F7" s="24" t="s">
        <v>121</v>
      </c>
      <c r="G7" s="24">
        <v>0</v>
      </c>
      <c r="H7" s="24" t="s">
        <v>47</v>
      </c>
      <c r="I7" s="24">
        <v>0</v>
      </c>
      <c r="J7" s="24" t="s">
        <v>49</v>
      </c>
    </row>
    <row r="8" spans="1:10" hidden="1" x14ac:dyDescent="0.3">
      <c r="A8" s="23" t="s">
        <v>122</v>
      </c>
      <c r="B8" s="24" t="s">
        <v>123</v>
      </c>
      <c r="C8" s="24"/>
      <c r="D8" s="24" t="s">
        <v>35</v>
      </c>
      <c r="E8" s="24" t="s">
        <v>45</v>
      </c>
      <c r="F8" s="24" t="s">
        <v>46</v>
      </c>
      <c r="G8" s="24">
        <v>0</v>
      </c>
      <c r="H8" s="24" t="s">
        <v>47</v>
      </c>
      <c r="I8" s="24">
        <v>3</v>
      </c>
      <c r="J8" s="24" t="s">
        <v>107</v>
      </c>
    </row>
    <row r="9" spans="1:10" hidden="1" x14ac:dyDescent="0.3">
      <c r="A9" s="23" t="s">
        <v>122</v>
      </c>
      <c r="B9" s="24" t="s">
        <v>123</v>
      </c>
      <c r="C9" s="24"/>
      <c r="D9" s="24" t="s">
        <v>35</v>
      </c>
      <c r="E9" s="24" t="s">
        <v>43</v>
      </c>
      <c r="F9" s="24" t="s">
        <v>124</v>
      </c>
      <c r="G9" s="24">
        <v>0</v>
      </c>
      <c r="H9" s="24" t="s">
        <v>44</v>
      </c>
      <c r="I9" s="24">
        <v>1</v>
      </c>
      <c r="J9" s="24" t="s">
        <v>107</v>
      </c>
    </row>
    <row r="10" spans="1:10" hidden="1" x14ac:dyDescent="0.3">
      <c r="A10" s="23" t="s">
        <v>125</v>
      </c>
      <c r="B10" s="24" t="s">
        <v>126</v>
      </c>
      <c r="C10" s="24"/>
      <c r="D10" s="24" t="s">
        <v>35</v>
      </c>
      <c r="E10" s="24" t="s">
        <v>41</v>
      </c>
      <c r="F10" s="24" t="s">
        <v>127</v>
      </c>
      <c r="G10" s="24">
        <v>0</v>
      </c>
      <c r="H10" s="24" t="s">
        <v>42</v>
      </c>
      <c r="I10" s="24">
        <v>0</v>
      </c>
      <c r="J10" s="24" t="s">
        <v>107</v>
      </c>
    </row>
    <row r="11" spans="1:10" hidden="1" x14ac:dyDescent="0.3">
      <c r="A11" s="23" t="s">
        <v>125</v>
      </c>
      <c r="B11" s="24" t="s">
        <v>10</v>
      </c>
      <c r="C11" s="24"/>
      <c r="D11" s="24" t="s">
        <v>35</v>
      </c>
      <c r="E11" s="24" t="s">
        <v>37</v>
      </c>
      <c r="F11" s="24" t="s">
        <v>128</v>
      </c>
      <c r="G11" s="24">
        <v>0</v>
      </c>
      <c r="H11" s="24" t="s">
        <v>38</v>
      </c>
      <c r="I11" s="24">
        <v>0</v>
      </c>
      <c r="J11" s="24" t="s">
        <v>107</v>
      </c>
    </row>
    <row r="12" spans="1:10" hidden="1" x14ac:dyDescent="0.3">
      <c r="A12" s="23" t="s">
        <v>129</v>
      </c>
      <c r="B12" s="24" t="s">
        <v>130</v>
      </c>
      <c r="C12" s="24"/>
      <c r="D12" s="24" t="s">
        <v>35</v>
      </c>
      <c r="E12" s="24" t="s">
        <v>36</v>
      </c>
      <c r="F12" s="24" t="s">
        <v>131</v>
      </c>
      <c r="G12" s="24">
        <v>0</v>
      </c>
      <c r="H12" s="24" t="s">
        <v>132</v>
      </c>
      <c r="I12" s="24">
        <v>0</v>
      </c>
      <c r="J12" s="24" t="s">
        <v>107</v>
      </c>
    </row>
    <row r="13" spans="1:10" x14ac:dyDescent="0.3">
      <c r="A13" s="23" t="s">
        <v>129</v>
      </c>
      <c r="B13" s="24" t="s">
        <v>10</v>
      </c>
      <c r="C13" s="24"/>
      <c r="D13" s="24" t="s">
        <v>17</v>
      </c>
      <c r="E13" s="24" t="s">
        <v>33</v>
      </c>
      <c r="F13" s="24" t="s">
        <v>133</v>
      </c>
      <c r="G13" s="24">
        <v>0</v>
      </c>
      <c r="H13" s="24" t="s">
        <v>34</v>
      </c>
      <c r="I13" s="24">
        <v>1</v>
      </c>
      <c r="J13" s="24" t="s">
        <v>40</v>
      </c>
    </row>
    <row r="14" spans="1:10" x14ac:dyDescent="0.3">
      <c r="A14" s="23" t="s">
        <v>129</v>
      </c>
      <c r="B14" s="24" t="s">
        <v>10</v>
      </c>
      <c r="C14" s="24"/>
      <c r="D14" s="24" t="s">
        <v>17</v>
      </c>
      <c r="E14" s="24" t="s">
        <v>31</v>
      </c>
      <c r="F14" s="24" t="s">
        <v>134</v>
      </c>
      <c r="G14" s="24">
        <v>2</v>
      </c>
      <c r="H14" s="24" t="s">
        <v>32</v>
      </c>
      <c r="I14" s="24">
        <v>0</v>
      </c>
      <c r="J14" s="24" t="s">
        <v>40</v>
      </c>
    </row>
    <row r="15" spans="1:10" x14ac:dyDescent="0.3">
      <c r="A15" s="23" t="s">
        <v>129</v>
      </c>
      <c r="B15" s="24" t="s">
        <v>10</v>
      </c>
      <c r="C15" s="24"/>
      <c r="D15" s="24" t="s">
        <v>17</v>
      </c>
      <c r="E15" s="24" t="s">
        <v>29</v>
      </c>
      <c r="F15" s="24" t="s">
        <v>135</v>
      </c>
      <c r="G15" s="24">
        <v>0</v>
      </c>
      <c r="H15" s="24" t="s">
        <v>30</v>
      </c>
      <c r="I15" s="24">
        <v>0</v>
      </c>
      <c r="J15" s="24" t="s">
        <v>40</v>
      </c>
    </row>
    <row r="16" spans="1:10" hidden="1" x14ac:dyDescent="0.3">
      <c r="A16" s="23" t="s">
        <v>136</v>
      </c>
      <c r="B16" s="24" t="s">
        <v>137</v>
      </c>
      <c r="C16" s="24"/>
      <c r="D16" s="24" t="s">
        <v>21</v>
      </c>
      <c r="E16" s="24" t="s">
        <v>27</v>
      </c>
      <c r="F16" s="24" t="s">
        <v>138</v>
      </c>
      <c r="G16" s="24">
        <v>0</v>
      </c>
      <c r="H16" s="24" t="s">
        <v>28</v>
      </c>
      <c r="I16" s="24">
        <v>0</v>
      </c>
      <c r="J16" s="24" t="s">
        <v>107</v>
      </c>
    </row>
    <row r="17" spans="1:10" hidden="1" x14ac:dyDescent="0.3">
      <c r="A17" s="23" t="s">
        <v>136</v>
      </c>
      <c r="B17" s="24" t="s">
        <v>10</v>
      </c>
      <c r="C17" s="24"/>
      <c r="D17" s="24" t="s">
        <v>21</v>
      </c>
      <c r="E17" s="24" t="s">
        <v>25</v>
      </c>
      <c r="F17" s="24" t="s">
        <v>139</v>
      </c>
      <c r="G17" s="24">
        <v>0</v>
      </c>
      <c r="H17" s="24" t="s">
        <v>26</v>
      </c>
      <c r="I17" s="24">
        <v>0</v>
      </c>
      <c r="J17" s="24" t="s">
        <v>107</v>
      </c>
    </row>
    <row r="18" spans="1:10" hidden="1" x14ac:dyDescent="0.3">
      <c r="A18" s="23" t="s">
        <v>136</v>
      </c>
      <c r="B18" s="24" t="s">
        <v>10</v>
      </c>
      <c r="C18" s="24"/>
      <c r="D18" s="24" t="s">
        <v>21</v>
      </c>
      <c r="E18" s="24" t="s">
        <v>23</v>
      </c>
      <c r="F18" s="24" t="s">
        <v>140</v>
      </c>
      <c r="G18" s="24">
        <v>2</v>
      </c>
      <c r="H18" s="24" t="s">
        <v>24</v>
      </c>
      <c r="I18" s="24">
        <v>1</v>
      </c>
      <c r="J18" s="24" t="s">
        <v>107</v>
      </c>
    </row>
    <row r="19" spans="1:10" hidden="1" x14ac:dyDescent="0.3">
      <c r="A19" s="23" t="s">
        <v>136</v>
      </c>
      <c r="B19" s="24" t="s">
        <v>10</v>
      </c>
      <c r="C19" s="24"/>
      <c r="D19" s="24" t="s">
        <v>21</v>
      </c>
      <c r="E19" s="24" t="s">
        <v>22</v>
      </c>
      <c r="F19" s="24" t="s">
        <v>141</v>
      </c>
      <c r="G19" s="24">
        <v>2</v>
      </c>
      <c r="H19" s="24" t="s">
        <v>142</v>
      </c>
      <c r="I19" s="24">
        <v>1</v>
      </c>
      <c r="J19" s="24" t="s">
        <v>107</v>
      </c>
    </row>
    <row r="20" spans="1:10" hidden="1" x14ac:dyDescent="0.3">
      <c r="A20" s="23" t="s">
        <v>136</v>
      </c>
      <c r="B20" s="24" t="s">
        <v>10</v>
      </c>
      <c r="C20" s="24"/>
      <c r="D20" s="24" t="s">
        <v>14</v>
      </c>
      <c r="E20" s="24" t="s">
        <v>19</v>
      </c>
      <c r="F20" s="24" t="s">
        <v>143</v>
      </c>
      <c r="G20" s="24">
        <v>0</v>
      </c>
      <c r="H20" s="24" t="s">
        <v>20</v>
      </c>
      <c r="I20" s="24">
        <v>1</v>
      </c>
      <c r="J20" s="24" t="s">
        <v>107</v>
      </c>
    </row>
    <row r="21" spans="1:10" x14ac:dyDescent="0.3">
      <c r="A21" s="23" t="s">
        <v>136</v>
      </c>
      <c r="B21" s="24" t="s">
        <v>10</v>
      </c>
      <c r="C21" s="24"/>
      <c r="D21" s="24" t="s">
        <v>17</v>
      </c>
      <c r="E21" s="24" t="s">
        <v>18</v>
      </c>
      <c r="F21" s="24" t="s">
        <v>144</v>
      </c>
      <c r="G21" s="24">
        <v>0</v>
      </c>
      <c r="H21" s="24" t="s">
        <v>145</v>
      </c>
      <c r="I21" s="24">
        <v>0</v>
      </c>
      <c r="J21" s="24" t="s">
        <v>40</v>
      </c>
    </row>
    <row r="22" spans="1:10" hidden="1" x14ac:dyDescent="0.3">
      <c r="A22" s="23" t="s">
        <v>136</v>
      </c>
      <c r="B22" s="24" t="s">
        <v>12</v>
      </c>
      <c r="C22" s="24"/>
      <c r="D22" s="24" t="s">
        <v>14</v>
      </c>
      <c r="E22" s="24" t="s">
        <v>15</v>
      </c>
      <c r="F22" s="24" t="s">
        <v>146</v>
      </c>
      <c r="G22" s="24">
        <v>0</v>
      </c>
      <c r="H22" s="24" t="s">
        <v>16</v>
      </c>
      <c r="I22" s="24">
        <v>0</v>
      </c>
      <c r="J22" s="24" t="s">
        <v>107</v>
      </c>
    </row>
    <row r="23" spans="1:10" hidden="1" x14ac:dyDescent="0.3">
      <c r="A23" s="23" t="s">
        <v>136</v>
      </c>
      <c r="B23" s="24" t="s">
        <v>10</v>
      </c>
      <c r="C23" s="24"/>
      <c r="D23" s="24" t="s">
        <v>12</v>
      </c>
      <c r="E23" s="24" t="s">
        <v>13</v>
      </c>
      <c r="F23" s="24" t="s">
        <v>147</v>
      </c>
      <c r="G23" s="24">
        <v>0</v>
      </c>
      <c r="H23" s="24" t="s">
        <v>148</v>
      </c>
      <c r="I23" s="24">
        <v>1</v>
      </c>
      <c r="J23" s="24" t="s">
        <v>48</v>
      </c>
    </row>
    <row r="24" spans="1:10" x14ac:dyDescent="0.3">
      <c r="A24" s="23"/>
      <c r="B24" s="24"/>
      <c r="C24" s="24"/>
      <c r="D24" s="24"/>
      <c r="E24" s="24"/>
      <c r="F24" s="24"/>
      <c r="G24" s="24"/>
      <c r="H24" s="24"/>
      <c r="I24" s="24"/>
      <c r="J24" s="24"/>
    </row>
    <row r="25" spans="1:10" x14ac:dyDescent="0.3">
      <c r="A25" s="23"/>
      <c r="B25" s="24"/>
      <c r="C25" s="24"/>
      <c r="D25" s="24"/>
      <c r="E25" s="24"/>
      <c r="F25" s="24"/>
      <c r="G25" s="24"/>
      <c r="H25" s="24"/>
      <c r="I25" s="24"/>
      <c r="J25" s="24"/>
    </row>
    <row r="26" spans="1:10" x14ac:dyDescent="0.3">
      <c r="A26" s="23"/>
      <c r="B26" s="24"/>
      <c r="C26" s="24"/>
      <c r="D26" s="24"/>
      <c r="E26" s="24"/>
      <c r="F26" s="24"/>
      <c r="G26" s="24"/>
      <c r="H26" s="24"/>
      <c r="I26" s="24"/>
      <c r="J26" s="24"/>
    </row>
    <row r="27" spans="1:10" x14ac:dyDescent="0.3">
      <c r="A27" s="23"/>
      <c r="B27" s="24"/>
      <c r="C27" s="24"/>
      <c r="D27" s="24"/>
      <c r="E27" s="24"/>
      <c r="F27" s="24"/>
      <c r="G27" s="24"/>
      <c r="H27" s="24"/>
      <c r="I27" s="24"/>
      <c r="J27" s="24"/>
    </row>
    <row r="28" spans="1:10" x14ac:dyDescent="0.3">
      <c r="A28" s="23"/>
      <c r="B28" s="24"/>
      <c r="C28" s="24"/>
      <c r="D28" s="24"/>
      <c r="E28" s="24"/>
      <c r="F28" s="24"/>
      <c r="G28" s="24"/>
      <c r="H28" s="24"/>
      <c r="I28" s="24"/>
      <c r="J28" s="24"/>
    </row>
    <row r="29" spans="1:10" x14ac:dyDescent="0.3">
      <c r="A29" s="23"/>
      <c r="B29" s="24"/>
      <c r="C29" s="24"/>
      <c r="D29" s="24"/>
      <c r="E29" s="24"/>
      <c r="F29" s="24"/>
      <c r="G29" s="24"/>
      <c r="H29" s="24"/>
      <c r="I29" s="24"/>
      <c r="J29" s="24"/>
    </row>
    <row r="30" spans="1:10" x14ac:dyDescent="0.3">
      <c r="A30" s="23"/>
      <c r="B30" s="24"/>
      <c r="C30" s="24"/>
      <c r="D30" s="24"/>
      <c r="E30" s="24"/>
      <c r="F30" s="24"/>
      <c r="G30" s="24"/>
      <c r="H30" s="24"/>
      <c r="I30" s="24"/>
      <c r="J30" s="24"/>
    </row>
    <row r="31" spans="1:10" x14ac:dyDescent="0.3">
      <c r="A31" s="23"/>
      <c r="B31" s="24"/>
      <c r="C31" s="24"/>
      <c r="D31" s="24"/>
      <c r="E31" s="24"/>
      <c r="F31" s="24"/>
      <c r="G31" s="24"/>
      <c r="H31" s="24"/>
      <c r="I31" s="24"/>
      <c r="J31" s="24"/>
    </row>
    <row r="32" spans="1:10" x14ac:dyDescent="0.3">
      <c r="A32" s="23"/>
      <c r="B32" s="24"/>
      <c r="C32" s="24"/>
      <c r="D32" s="24"/>
      <c r="E32" s="24"/>
      <c r="F32" s="24"/>
      <c r="G32" s="24"/>
      <c r="H32" s="24"/>
      <c r="I32" s="24"/>
      <c r="J32" s="24"/>
    </row>
    <row r="33" spans="1:10" x14ac:dyDescent="0.3">
      <c r="A33" s="23"/>
      <c r="B33" s="24"/>
      <c r="C33" s="24"/>
      <c r="D33" s="24"/>
      <c r="E33" s="24"/>
      <c r="F33" s="24"/>
      <c r="G33" s="24"/>
      <c r="H33" s="24"/>
      <c r="I33" s="24"/>
      <c r="J33" s="24"/>
    </row>
    <row r="34" spans="1:10" x14ac:dyDescent="0.3">
      <c r="A34" s="23"/>
      <c r="B34" s="24"/>
      <c r="C34" s="24"/>
      <c r="D34" s="24"/>
      <c r="E34" s="24"/>
      <c r="F34" s="24"/>
      <c r="G34" s="24"/>
      <c r="H34" s="24"/>
      <c r="I34" s="24"/>
      <c r="J34" s="24"/>
    </row>
    <row r="35" spans="1:10" x14ac:dyDescent="0.3">
      <c r="A35" s="23"/>
      <c r="B35" s="24"/>
      <c r="C35" s="24"/>
      <c r="D35" s="24"/>
      <c r="E35" s="24"/>
      <c r="F35" s="24"/>
      <c r="G35" s="24"/>
      <c r="H35" s="24"/>
      <c r="I35" s="24"/>
      <c r="J35" s="24"/>
    </row>
    <row r="36" spans="1:10" x14ac:dyDescent="0.3">
      <c r="A36" s="23"/>
      <c r="B36" s="24"/>
      <c r="C36" s="24"/>
      <c r="D36" s="24"/>
      <c r="E36" s="24"/>
      <c r="F36" s="24"/>
      <c r="G36" s="24"/>
      <c r="H36" s="24"/>
      <c r="I36" s="24"/>
      <c r="J36" s="24"/>
    </row>
    <row r="37" spans="1:10" x14ac:dyDescent="0.3">
      <c r="A37" s="23"/>
      <c r="B37" s="24"/>
      <c r="C37" s="24"/>
      <c r="D37" s="24"/>
      <c r="E37" s="24"/>
      <c r="F37" s="24"/>
      <c r="G37" s="24"/>
      <c r="H37" s="24"/>
      <c r="I37" s="24"/>
      <c r="J37" s="24"/>
    </row>
    <row r="38" spans="1:10" x14ac:dyDescent="0.3">
      <c r="A38" s="23"/>
      <c r="B38" s="24"/>
      <c r="C38" s="24"/>
      <c r="D38" s="24"/>
      <c r="E38" s="24"/>
      <c r="F38" s="24"/>
      <c r="G38" s="24"/>
      <c r="H38" s="24"/>
      <c r="I38" s="24"/>
      <c r="J38" s="24"/>
    </row>
    <row r="39" spans="1:10" x14ac:dyDescent="0.3">
      <c r="A39" s="23"/>
      <c r="B39" s="24"/>
      <c r="C39" s="24"/>
      <c r="D39" s="24"/>
      <c r="E39" s="24"/>
      <c r="F39" s="24"/>
      <c r="G39" s="24"/>
      <c r="H39" s="24"/>
      <c r="I39" s="24"/>
      <c r="J39" s="24"/>
    </row>
    <row r="40" spans="1:10" x14ac:dyDescent="0.3">
      <c r="A40" s="23"/>
      <c r="B40" s="24"/>
      <c r="C40" s="24"/>
      <c r="D40" s="24"/>
      <c r="E40" s="24"/>
      <c r="F40" s="24"/>
      <c r="G40" s="24"/>
      <c r="H40" s="24"/>
      <c r="I40" s="24"/>
      <c r="J40" s="24"/>
    </row>
    <row r="41" spans="1:10" x14ac:dyDescent="0.3">
      <c r="A41" s="23"/>
      <c r="B41" s="24"/>
      <c r="C41" s="24"/>
      <c r="D41" s="24"/>
      <c r="E41" s="24"/>
      <c r="F41" s="24"/>
      <c r="G41" s="24"/>
      <c r="H41" s="24"/>
      <c r="I41" s="24"/>
      <c r="J41" s="24"/>
    </row>
    <row r="42" spans="1:10" x14ac:dyDescent="0.3">
      <c r="A42" s="23"/>
      <c r="B42" s="24"/>
      <c r="C42" s="24"/>
      <c r="D42" s="24"/>
      <c r="E42" s="24"/>
      <c r="F42" s="24"/>
      <c r="G42" s="24"/>
      <c r="H42" s="24"/>
      <c r="I42" s="24"/>
      <c r="J42" s="24"/>
    </row>
    <row r="43" spans="1:10" x14ac:dyDescent="0.3">
      <c r="A43" s="23"/>
      <c r="B43" s="24"/>
      <c r="C43" s="24"/>
      <c r="D43" s="24"/>
      <c r="E43" s="24"/>
      <c r="F43" s="24"/>
      <c r="G43" s="24"/>
      <c r="H43" s="24"/>
      <c r="I43" s="24"/>
      <c r="J43" s="24"/>
    </row>
    <row r="44" spans="1:10" x14ac:dyDescent="0.3">
      <c r="A44" s="23"/>
      <c r="B44" s="24"/>
      <c r="C44" s="24"/>
      <c r="D44" s="24"/>
      <c r="E44" s="24"/>
      <c r="F44" s="24"/>
      <c r="G44" s="24"/>
      <c r="H44" s="24"/>
      <c r="I44" s="24"/>
      <c r="J44" s="24"/>
    </row>
    <row r="45" spans="1:10" x14ac:dyDescent="0.3">
      <c r="A45" s="23"/>
      <c r="B45" s="24"/>
      <c r="C45" s="24"/>
      <c r="D45" s="24"/>
      <c r="E45" s="24"/>
      <c r="F45" s="24"/>
      <c r="G45" s="24"/>
      <c r="H45" s="24"/>
      <c r="I45" s="24"/>
      <c r="J45" s="24"/>
    </row>
    <row r="46" spans="1:10" x14ac:dyDescent="0.3">
      <c r="A46" s="23"/>
      <c r="B46" s="24"/>
      <c r="C46" s="24"/>
      <c r="D46" s="24"/>
      <c r="E46" s="24"/>
      <c r="F46" s="24"/>
      <c r="G46" s="24"/>
      <c r="H46" s="24"/>
      <c r="I46" s="24"/>
      <c r="J46" s="24"/>
    </row>
    <row r="47" spans="1:10" x14ac:dyDescent="0.3">
      <c r="A47" s="23"/>
      <c r="B47" s="24"/>
      <c r="C47" s="24"/>
      <c r="D47" s="24"/>
      <c r="E47" s="24"/>
      <c r="F47" s="24"/>
      <c r="G47" s="24"/>
      <c r="H47" s="24"/>
      <c r="I47" s="24"/>
      <c r="J47" s="24"/>
    </row>
    <row r="48" spans="1:10" x14ac:dyDescent="0.3">
      <c r="A48" s="23"/>
      <c r="B48" s="24"/>
      <c r="C48" s="24"/>
      <c r="D48" s="24"/>
      <c r="E48" s="24"/>
      <c r="F48" s="24"/>
      <c r="G48" s="24"/>
      <c r="H48" s="24"/>
      <c r="I48" s="24"/>
      <c r="J48" s="24"/>
    </row>
    <row r="49" spans="1:10" x14ac:dyDescent="0.3">
      <c r="A49" s="23"/>
      <c r="B49" s="24"/>
      <c r="C49" s="24"/>
      <c r="D49" s="24"/>
      <c r="E49" s="24"/>
      <c r="F49" s="24"/>
      <c r="G49" s="24"/>
      <c r="H49" s="24"/>
      <c r="I49" s="24"/>
      <c r="J49" s="24"/>
    </row>
    <row r="50" spans="1:10" x14ac:dyDescent="0.3">
      <c r="A50" s="23"/>
      <c r="B50" s="24"/>
      <c r="C50" s="24"/>
      <c r="D50" s="24"/>
      <c r="E50" s="24"/>
      <c r="F50" s="24"/>
      <c r="G50" s="24"/>
      <c r="H50" s="24"/>
      <c r="I50" s="24"/>
      <c r="J50" s="24"/>
    </row>
    <row r="51" spans="1:10" x14ac:dyDescent="0.3">
      <c r="A51" s="23"/>
      <c r="B51" s="24"/>
      <c r="C51" s="24"/>
      <c r="D51" s="24"/>
      <c r="E51" s="24"/>
      <c r="F51" s="24"/>
      <c r="G51" s="24"/>
      <c r="H51" s="24"/>
      <c r="I51" s="24"/>
      <c r="J51" s="24"/>
    </row>
    <row r="52" spans="1:10" x14ac:dyDescent="0.3">
      <c r="A52" s="23"/>
      <c r="B52" s="24"/>
      <c r="C52" s="24"/>
      <c r="D52" s="24"/>
      <c r="E52" s="24"/>
      <c r="F52" s="24"/>
      <c r="G52" s="24"/>
      <c r="H52" s="24"/>
      <c r="I52" s="24"/>
      <c r="J52" s="24"/>
    </row>
    <row r="53" spans="1:10" x14ac:dyDescent="0.3">
      <c r="A53" s="23"/>
      <c r="B53" s="24"/>
      <c r="C53" s="24"/>
      <c r="D53" s="24"/>
      <c r="E53" s="24"/>
      <c r="F53" s="24"/>
      <c r="G53" s="24"/>
      <c r="H53" s="24"/>
      <c r="I53" s="24"/>
      <c r="J53" s="24"/>
    </row>
    <row r="54" spans="1:10" x14ac:dyDescent="0.3">
      <c r="A54" s="23"/>
      <c r="B54" s="24"/>
      <c r="C54" s="24"/>
      <c r="D54" s="24"/>
      <c r="E54" s="24"/>
      <c r="F54" s="24"/>
      <c r="G54" s="24"/>
      <c r="H54" s="24"/>
      <c r="I54" s="24"/>
      <c r="J54" s="24"/>
    </row>
    <row r="55" spans="1:10" x14ac:dyDescent="0.3">
      <c r="A55" s="23"/>
      <c r="B55" s="24"/>
      <c r="C55" s="24"/>
      <c r="D55" s="24"/>
      <c r="E55" s="24"/>
      <c r="F55" s="24"/>
      <c r="G55" s="24"/>
      <c r="H55" s="24"/>
      <c r="I55" s="24"/>
      <c r="J55" s="24"/>
    </row>
    <row r="56" spans="1:10" x14ac:dyDescent="0.3">
      <c r="A56" s="23"/>
      <c r="B56" s="24"/>
      <c r="C56" s="24"/>
      <c r="D56" s="24"/>
      <c r="E56" s="24"/>
      <c r="F56" s="24"/>
      <c r="G56" s="24"/>
      <c r="H56" s="24"/>
      <c r="I56" s="24"/>
      <c r="J56" s="24"/>
    </row>
    <row r="57" spans="1:10" x14ac:dyDescent="0.3">
      <c r="A57" s="23"/>
      <c r="B57" s="24"/>
      <c r="C57" s="24"/>
      <c r="D57" s="24"/>
      <c r="E57" s="24"/>
      <c r="F57" s="24"/>
      <c r="G57" s="24"/>
      <c r="H57" s="24"/>
      <c r="I57" s="24"/>
      <c r="J57" s="24"/>
    </row>
    <row r="58" spans="1:10" x14ac:dyDescent="0.3">
      <c r="A58" s="23"/>
      <c r="B58" s="24"/>
      <c r="C58" s="24"/>
      <c r="D58" s="24"/>
      <c r="E58" s="24"/>
      <c r="F58" s="24"/>
      <c r="G58" s="24"/>
      <c r="H58" s="24"/>
      <c r="I58" s="24"/>
      <c r="J58" s="24"/>
    </row>
    <row r="59" spans="1:10" x14ac:dyDescent="0.3">
      <c r="A59" s="23"/>
      <c r="B59" s="24"/>
      <c r="C59" s="24"/>
      <c r="D59" s="24"/>
      <c r="E59" s="24"/>
      <c r="F59" s="24"/>
      <c r="G59" s="24"/>
      <c r="H59" s="24"/>
      <c r="I59" s="24"/>
      <c r="J59" s="24"/>
    </row>
    <row r="60" spans="1:10" x14ac:dyDescent="0.3">
      <c r="A60" s="23"/>
      <c r="B60" s="24"/>
      <c r="C60" s="24"/>
      <c r="D60" s="24"/>
      <c r="E60" s="24"/>
      <c r="F60" s="24"/>
      <c r="G60" s="24"/>
      <c r="H60" s="24"/>
      <c r="I60" s="24"/>
      <c r="J60" s="24"/>
    </row>
    <row r="61" spans="1:10" x14ac:dyDescent="0.3">
      <c r="A61" s="23"/>
      <c r="B61" s="24"/>
      <c r="C61" s="24"/>
      <c r="D61" s="24"/>
      <c r="E61" s="24"/>
      <c r="F61" s="24"/>
      <c r="G61" s="24"/>
      <c r="H61" s="24"/>
      <c r="I61" s="24"/>
      <c r="J61" s="24"/>
    </row>
    <row r="62" spans="1:10" x14ac:dyDescent="0.3">
      <c r="A62" s="23"/>
      <c r="B62" s="24"/>
      <c r="C62" s="24"/>
      <c r="D62" s="24"/>
      <c r="E62" s="24"/>
      <c r="F62" s="24"/>
      <c r="G62" s="24"/>
      <c r="H62" s="24"/>
      <c r="I62" s="24"/>
      <c r="J62" s="24"/>
    </row>
    <row r="63" spans="1:10" x14ac:dyDescent="0.3">
      <c r="A63" s="23"/>
      <c r="B63" s="24"/>
      <c r="C63" s="24"/>
      <c r="D63" s="24"/>
      <c r="E63" s="24"/>
      <c r="F63" s="24"/>
      <c r="G63" s="24"/>
      <c r="H63" s="24"/>
      <c r="I63" s="24"/>
      <c r="J63" s="24"/>
    </row>
    <row r="64" spans="1:10" x14ac:dyDescent="0.3">
      <c r="A64" s="23"/>
      <c r="B64" s="24"/>
      <c r="C64" s="24"/>
      <c r="D64" s="24"/>
      <c r="E64" s="24"/>
      <c r="F64" s="24"/>
      <c r="G64" s="24"/>
      <c r="H64" s="24"/>
      <c r="I64" s="24"/>
      <c r="J64" s="24"/>
    </row>
    <row r="65" spans="1:10" x14ac:dyDescent="0.3">
      <c r="A65" s="23"/>
      <c r="B65" s="24"/>
      <c r="C65" s="24"/>
      <c r="D65" s="24"/>
      <c r="E65" s="24"/>
      <c r="F65" s="24"/>
      <c r="G65" s="24"/>
      <c r="H65" s="24"/>
      <c r="I65" s="24"/>
      <c r="J65" s="24"/>
    </row>
    <row r="66" spans="1:10" x14ac:dyDescent="0.3">
      <c r="A66" s="23"/>
      <c r="B66" s="24"/>
      <c r="C66" s="24"/>
      <c r="D66" s="24"/>
      <c r="E66" s="24"/>
      <c r="F66" s="24"/>
      <c r="G66" s="24"/>
      <c r="H66" s="24"/>
      <c r="I66" s="24"/>
      <c r="J66" s="24"/>
    </row>
    <row r="67" spans="1:10" x14ac:dyDescent="0.3">
      <c r="A67" s="23"/>
      <c r="B67" s="24"/>
      <c r="C67" s="24"/>
      <c r="D67" s="24"/>
      <c r="E67" s="24"/>
      <c r="F67" s="24"/>
      <c r="G67" s="24"/>
      <c r="H67" s="24"/>
      <c r="I67" s="24"/>
      <c r="J67" s="24"/>
    </row>
    <row r="68" spans="1:10" x14ac:dyDescent="0.3">
      <c r="A68" s="23"/>
      <c r="B68" s="24"/>
      <c r="C68" s="24"/>
      <c r="D68" s="24"/>
      <c r="E68" s="24"/>
      <c r="F68" s="24"/>
      <c r="G68" s="24"/>
      <c r="H68" s="24"/>
      <c r="I68" s="24"/>
      <c r="J68" s="24"/>
    </row>
    <row r="69" spans="1:10" x14ac:dyDescent="0.3">
      <c r="A69" s="23"/>
      <c r="B69" s="24"/>
      <c r="C69" s="24"/>
      <c r="D69" s="24"/>
      <c r="E69" s="24"/>
      <c r="F69" s="24"/>
      <c r="G69" s="24"/>
      <c r="H69" s="24"/>
      <c r="I69" s="24"/>
      <c r="J69" s="24"/>
    </row>
    <row r="70" spans="1:10" x14ac:dyDescent="0.3">
      <c r="A70" s="23"/>
      <c r="B70" s="24"/>
      <c r="C70" s="24"/>
      <c r="D70" s="24"/>
      <c r="E70" s="24"/>
      <c r="F70" s="24"/>
      <c r="G70" s="24"/>
      <c r="H70" s="24"/>
      <c r="I70" s="24"/>
      <c r="J70" s="24"/>
    </row>
    <row r="71" spans="1:10" x14ac:dyDescent="0.3">
      <c r="A71" s="23"/>
      <c r="B71" s="24"/>
      <c r="C71" s="24"/>
      <c r="D71" s="24"/>
      <c r="E71" s="24"/>
      <c r="F71" s="24"/>
      <c r="G71" s="24"/>
      <c r="H71" s="24"/>
      <c r="I71" s="24"/>
      <c r="J71" s="24"/>
    </row>
    <row r="72" spans="1:10" x14ac:dyDescent="0.3">
      <c r="A72" s="23"/>
      <c r="B72" s="24"/>
      <c r="C72" s="24"/>
      <c r="D72" s="24"/>
      <c r="E72" s="24"/>
      <c r="F72" s="24"/>
      <c r="G72" s="24"/>
      <c r="H72" s="24"/>
      <c r="I72" s="24"/>
      <c r="J72" s="24"/>
    </row>
    <row r="73" spans="1:10" x14ac:dyDescent="0.3">
      <c r="A73" s="23"/>
      <c r="B73" s="24"/>
      <c r="C73" s="24"/>
      <c r="D73" s="24"/>
      <c r="E73" s="24"/>
      <c r="F73" s="24"/>
      <c r="G73" s="24"/>
      <c r="H73" s="24"/>
      <c r="I73" s="24"/>
      <c r="J73" s="24"/>
    </row>
    <row r="74" spans="1:10" s="31" customFormat="1" x14ac:dyDescent="0.3"/>
    <row r="75" spans="1:10" s="31" customFormat="1" x14ac:dyDescent="0.3"/>
    <row r="76" spans="1:10" s="31" customFormat="1" x14ac:dyDescent="0.3"/>
    <row r="77" spans="1:10" s="31" customFormat="1" x14ac:dyDescent="0.3"/>
    <row r="78" spans="1:10" s="31" customFormat="1" x14ac:dyDescent="0.3"/>
    <row r="79" spans="1:10" s="31" customFormat="1" x14ac:dyDescent="0.3"/>
    <row r="80" spans="1:10" s="31" customFormat="1" x14ac:dyDescent="0.3"/>
    <row r="81" s="31" customFormat="1" x14ac:dyDescent="0.3"/>
    <row r="82" s="31" customFormat="1" x14ac:dyDescent="0.3"/>
    <row r="83" s="31" customFormat="1" x14ac:dyDescent="0.3"/>
    <row r="84" s="31" customFormat="1" x14ac:dyDescent="0.3"/>
    <row r="85" s="31" customFormat="1" x14ac:dyDescent="0.3"/>
    <row r="86" s="31" customFormat="1" x14ac:dyDescent="0.3"/>
    <row r="87" s="31" customFormat="1" x14ac:dyDescent="0.3"/>
    <row r="88" s="31" customFormat="1" x14ac:dyDescent="0.3"/>
    <row r="89" s="31" customFormat="1" x14ac:dyDescent="0.3"/>
    <row r="90" s="31" customFormat="1" x14ac:dyDescent="0.3"/>
    <row r="91" s="31" customFormat="1" x14ac:dyDescent="0.3"/>
    <row r="92" s="31" customFormat="1" x14ac:dyDescent="0.3"/>
    <row r="93" s="31" customFormat="1" x14ac:dyDescent="0.3"/>
    <row r="94" s="31" customFormat="1" x14ac:dyDescent="0.3"/>
    <row r="95" s="31" customFormat="1" x14ac:dyDescent="0.3"/>
    <row r="96" s="31" customFormat="1" x14ac:dyDescent="0.3"/>
    <row r="97" s="31" customFormat="1" x14ac:dyDescent="0.3"/>
    <row r="98" s="31" customFormat="1" x14ac:dyDescent="0.3"/>
    <row r="99" s="31" customFormat="1" x14ac:dyDescent="0.3"/>
    <row r="100" s="31" customFormat="1" x14ac:dyDescent="0.3"/>
    <row r="101" s="31" customFormat="1" x14ac:dyDescent="0.3"/>
    <row r="102" s="31" customFormat="1" x14ac:dyDescent="0.3"/>
    <row r="103" s="31" customFormat="1" x14ac:dyDescent="0.3"/>
    <row r="104" s="31" customFormat="1" x14ac:dyDescent="0.3"/>
    <row r="105" s="31" customFormat="1" x14ac:dyDescent="0.3"/>
    <row r="106" s="31" customFormat="1" x14ac:dyDescent="0.3"/>
    <row r="107" s="31" customFormat="1" x14ac:dyDescent="0.3"/>
    <row r="108" s="31" customFormat="1" x14ac:dyDescent="0.3"/>
    <row r="109" s="31" customFormat="1" x14ac:dyDescent="0.3"/>
    <row r="110" s="31" customFormat="1" x14ac:dyDescent="0.3"/>
    <row r="111" s="31" customFormat="1" x14ac:dyDescent="0.3"/>
    <row r="112" s="31" customFormat="1" x14ac:dyDescent="0.3"/>
    <row r="113" s="31" customFormat="1" x14ac:dyDescent="0.3"/>
    <row r="114" s="31" customFormat="1" x14ac:dyDescent="0.3"/>
    <row r="115" s="31" customFormat="1" x14ac:dyDescent="0.3"/>
    <row r="116" s="31" customFormat="1" x14ac:dyDescent="0.3"/>
    <row r="117" s="31" customFormat="1" x14ac:dyDescent="0.3"/>
    <row r="118" s="31" customFormat="1" x14ac:dyDescent="0.3"/>
    <row r="119" s="31" customFormat="1" x14ac:dyDescent="0.3"/>
    <row r="120" s="31" customFormat="1" x14ac:dyDescent="0.3"/>
    <row r="121" s="31" customFormat="1" x14ac:dyDescent="0.3"/>
    <row r="122" s="31" customFormat="1" x14ac:dyDescent="0.3"/>
    <row r="123" s="31" customFormat="1" x14ac:dyDescent="0.3"/>
    <row r="124" s="31" customFormat="1" x14ac:dyDescent="0.3"/>
    <row r="125" s="31" customFormat="1" x14ac:dyDescent="0.3"/>
    <row r="126" s="31" customFormat="1" x14ac:dyDescent="0.3"/>
    <row r="127" s="31" customFormat="1" x14ac:dyDescent="0.3"/>
    <row r="128" s="31" customFormat="1" x14ac:dyDescent="0.3"/>
    <row r="129" s="31" customFormat="1" x14ac:dyDescent="0.3"/>
    <row r="130" s="31" customFormat="1" x14ac:dyDescent="0.3"/>
    <row r="131" s="31" customFormat="1" x14ac:dyDescent="0.3"/>
    <row r="132" s="31" customFormat="1" x14ac:dyDescent="0.3"/>
    <row r="133" s="31" customFormat="1" x14ac:dyDescent="0.3"/>
    <row r="134" s="31" customFormat="1" x14ac:dyDescent="0.3"/>
    <row r="135" s="31" customFormat="1" x14ac:dyDescent="0.3"/>
    <row r="136" s="31" customFormat="1" x14ac:dyDescent="0.3"/>
    <row r="137" s="31" customFormat="1" x14ac:dyDescent="0.3"/>
    <row r="138" s="31" customFormat="1" x14ac:dyDescent="0.3"/>
    <row r="139" s="31" customFormat="1" x14ac:dyDescent="0.3"/>
    <row r="140" s="31" customFormat="1" x14ac:dyDescent="0.3"/>
    <row r="141" s="31" customFormat="1" x14ac:dyDescent="0.3"/>
    <row r="142" s="31" customFormat="1" x14ac:dyDescent="0.3"/>
    <row r="143" s="31" customFormat="1" x14ac:dyDescent="0.3"/>
    <row r="144" s="31" customFormat="1" x14ac:dyDescent="0.3"/>
    <row r="145" s="31" customFormat="1" x14ac:dyDescent="0.3"/>
    <row r="146" s="31" customFormat="1" x14ac:dyDescent="0.3"/>
    <row r="147" s="31" customFormat="1" x14ac:dyDescent="0.3"/>
    <row r="148" s="31" customFormat="1" x14ac:dyDescent="0.3"/>
    <row r="149" s="31" customFormat="1" x14ac:dyDescent="0.3"/>
    <row r="150" s="31" customFormat="1" x14ac:dyDescent="0.3"/>
    <row r="151" s="31" customFormat="1" x14ac:dyDescent="0.3"/>
    <row r="152" s="31" customFormat="1" x14ac:dyDescent="0.3"/>
    <row r="153" s="31" customFormat="1" x14ac:dyDescent="0.3"/>
    <row r="154" s="31" customFormat="1" x14ac:dyDescent="0.3"/>
    <row r="155" s="31" customFormat="1" x14ac:dyDescent="0.3"/>
    <row r="156" s="31" customFormat="1" x14ac:dyDescent="0.3"/>
    <row r="157" s="31" customFormat="1" x14ac:dyDescent="0.3"/>
    <row r="158" s="31" customFormat="1" x14ac:dyDescent="0.3"/>
    <row r="159" s="31" customFormat="1" x14ac:dyDescent="0.3"/>
    <row r="160" s="31" customFormat="1" x14ac:dyDescent="0.3"/>
    <row r="161" s="31" customFormat="1" x14ac:dyDescent="0.3"/>
    <row r="162" s="31" customFormat="1" x14ac:dyDescent="0.3"/>
    <row r="163" s="31" customFormat="1" x14ac:dyDescent="0.3"/>
    <row r="164" s="31" customFormat="1" x14ac:dyDescent="0.3"/>
    <row r="165" s="31" customFormat="1" x14ac:dyDescent="0.3"/>
    <row r="166" s="31" customFormat="1" x14ac:dyDescent="0.3"/>
    <row r="167" s="31" customFormat="1" x14ac:dyDescent="0.3"/>
    <row r="168" s="31" customFormat="1" x14ac:dyDescent="0.3"/>
    <row r="169" s="31" customFormat="1" x14ac:dyDescent="0.3"/>
    <row r="170" s="31" customFormat="1" x14ac:dyDescent="0.3"/>
    <row r="171" s="31" customFormat="1" x14ac:dyDescent="0.3"/>
    <row r="172" s="31" customFormat="1" x14ac:dyDescent="0.3"/>
    <row r="173" s="31" customFormat="1" x14ac:dyDescent="0.3"/>
    <row r="174" s="31" customFormat="1" x14ac:dyDescent="0.3"/>
    <row r="175" s="31" customFormat="1" x14ac:dyDescent="0.3"/>
    <row r="176" s="31" customFormat="1" x14ac:dyDescent="0.3"/>
    <row r="177" s="31" customFormat="1" x14ac:dyDescent="0.3"/>
    <row r="178" s="31" customFormat="1" x14ac:dyDescent="0.3"/>
    <row r="179" s="31" customFormat="1" x14ac:dyDescent="0.3"/>
    <row r="180" s="31" customFormat="1" x14ac:dyDescent="0.3"/>
    <row r="181" s="31" customFormat="1" x14ac:dyDescent="0.3"/>
    <row r="182" s="31" customFormat="1" x14ac:dyDescent="0.3"/>
    <row r="183" s="31" customFormat="1" x14ac:dyDescent="0.3"/>
    <row r="184" s="31" customFormat="1" x14ac:dyDescent="0.3"/>
    <row r="185" s="31" customFormat="1" x14ac:dyDescent="0.3"/>
    <row r="186" s="31" customFormat="1" x14ac:dyDescent="0.3"/>
    <row r="187" s="31" customFormat="1" x14ac:dyDescent="0.3"/>
    <row r="188" s="31" customFormat="1" x14ac:dyDescent="0.3"/>
    <row r="189" s="31" customFormat="1" x14ac:dyDescent="0.3"/>
    <row r="190" s="31" customFormat="1" x14ac:dyDescent="0.3"/>
    <row r="191" s="31" customFormat="1" x14ac:dyDescent="0.3"/>
    <row r="192" s="31" customFormat="1" x14ac:dyDescent="0.3"/>
    <row r="193" s="31" customFormat="1" x14ac:dyDescent="0.3"/>
    <row r="194" s="31" customFormat="1" x14ac:dyDescent="0.3"/>
    <row r="195" s="31" customFormat="1" x14ac:dyDescent="0.3"/>
    <row r="196" s="31" customFormat="1" x14ac:dyDescent="0.3"/>
    <row r="197" s="31" customFormat="1" x14ac:dyDescent="0.3"/>
    <row r="198" s="31" customFormat="1" x14ac:dyDescent="0.3"/>
    <row r="199" s="31" customFormat="1" x14ac:dyDescent="0.3"/>
    <row r="200" s="31" customFormat="1" x14ac:dyDescent="0.3"/>
    <row r="201" s="31" customFormat="1" x14ac:dyDescent="0.3"/>
    <row r="202" s="31" customFormat="1" x14ac:dyDescent="0.3"/>
    <row r="203" s="31" customFormat="1" x14ac:dyDescent="0.3"/>
  </sheetData>
  <autoFilter ref="A1:K23">
    <filterColumn colId="9">
      <filters>
        <filter val="Senior"/>
      </filters>
    </filterColumn>
  </autoFilter>
  <pageMargins left="0.75" right="0.75" top="1" bottom="1" header="0.5" footer="0.5"/>
  <customProperties>
    <customPr name="KSheetIndex" r:id="rId1"/>
  </customPropertie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A1:AJ291"/>
  <sheetViews>
    <sheetView workbookViewId="0">
      <selection activeCell="J1" sqref="J1"/>
    </sheetView>
  </sheetViews>
  <sheetFormatPr defaultColWidth="9.109375" defaultRowHeight="14.4" x14ac:dyDescent="0.3"/>
  <cols>
    <col min="1" max="1" width="38.5546875" style="17" customWidth="1"/>
    <col min="2" max="5" width="9.109375" style="17"/>
    <col min="6" max="6" width="53.33203125" style="17" customWidth="1"/>
    <col min="7" max="9" width="9.109375" style="17"/>
    <col min="10" max="10" width="18.5546875" style="17" bestFit="1" customWidth="1"/>
    <col min="11" max="36" width="9.109375" style="31"/>
    <col min="37" max="16384" width="9.109375" style="17"/>
  </cols>
  <sheetData>
    <row r="1" spans="1:10" ht="15" thickBot="1" x14ac:dyDescent="0.35">
      <c r="A1" s="26" t="s">
        <v>3</v>
      </c>
      <c r="B1" s="26" t="s">
        <v>4</v>
      </c>
      <c r="C1" s="26" t="s">
        <v>5</v>
      </c>
      <c r="D1" s="26" t="s">
        <v>6</v>
      </c>
      <c r="E1" s="26" t="s">
        <v>7</v>
      </c>
      <c r="F1" s="26" t="s">
        <v>8</v>
      </c>
      <c r="G1" s="26" t="s">
        <v>99</v>
      </c>
      <c r="H1" s="26" t="s">
        <v>110</v>
      </c>
      <c r="I1" s="26" t="s">
        <v>9</v>
      </c>
      <c r="J1" s="26" t="s">
        <v>73</v>
      </c>
    </row>
    <row r="2" spans="1:10" ht="15" thickTop="1" x14ac:dyDescent="0.3">
      <c r="A2" s="21" t="s">
        <v>10</v>
      </c>
      <c r="B2" s="22" t="s">
        <v>10</v>
      </c>
      <c r="C2" s="22"/>
      <c r="D2" s="22" t="s">
        <v>11</v>
      </c>
      <c r="E2" s="22" t="s">
        <v>104</v>
      </c>
      <c r="F2" s="22" t="s">
        <v>115</v>
      </c>
      <c r="G2" s="22">
        <v>0</v>
      </c>
      <c r="H2" s="22" t="s">
        <v>105</v>
      </c>
      <c r="I2" s="22">
        <v>0</v>
      </c>
      <c r="J2" s="22" t="s">
        <v>74</v>
      </c>
    </row>
    <row r="3" spans="1:10" x14ac:dyDescent="0.3">
      <c r="A3" s="23" t="s">
        <v>10</v>
      </c>
      <c r="B3" s="24" t="s">
        <v>10</v>
      </c>
      <c r="C3" s="24"/>
      <c r="D3" s="24" t="s">
        <v>11</v>
      </c>
      <c r="E3" s="24" t="s">
        <v>102</v>
      </c>
      <c r="F3" s="24" t="s">
        <v>116</v>
      </c>
      <c r="G3" s="24">
        <v>0</v>
      </c>
      <c r="H3" s="24" t="s">
        <v>103</v>
      </c>
      <c r="I3" s="24">
        <v>0</v>
      </c>
      <c r="J3" s="24" t="s">
        <v>74</v>
      </c>
    </row>
    <row r="4" spans="1:10" x14ac:dyDescent="0.3">
      <c r="A4" s="23" t="s">
        <v>10</v>
      </c>
      <c r="B4" s="24" t="s">
        <v>10</v>
      </c>
      <c r="C4" s="24"/>
      <c r="D4" s="24" t="s">
        <v>11</v>
      </c>
      <c r="E4" s="24" t="s">
        <v>101</v>
      </c>
      <c r="F4" s="24" t="s">
        <v>117</v>
      </c>
      <c r="G4" s="24">
        <v>0</v>
      </c>
      <c r="H4" s="24" t="s">
        <v>118</v>
      </c>
      <c r="I4" s="24">
        <v>0</v>
      </c>
      <c r="J4" s="24" t="s">
        <v>74</v>
      </c>
    </row>
    <row r="5" spans="1:10" x14ac:dyDescent="0.3">
      <c r="A5" s="23" t="s">
        <v>10</v>
      </c>
      <c r="B5" s="24" t="s">
        <v>10</v>
      </c>
      <c r="C5" s="24"/>
      <c r="D5" s="24" t="s">
        <v>55</v>
      </c>
      <c r="E5" s="24" t="s">
        <v>56</v>
      </c>
      <c r="F5" s="24" t="s">
        <v>119</v>
      </c>
      <c r="G5" s="24">
        <v>0</v>
      </c>
      <c r="H5" s="24" t="s">
        <v>57</v>
      </c>
      <c r="I5" s="24">
        <v>0</v>
      </c>
      <c r="J5" s="24" t="s">
        <v>74</v>
      </c>
    </row>
    <row r="6" spans="1:10" x14ac:dyDescent="0.3">
      <c r="A6" s="23" t="s">
        <v>10</v>
      </c>
      <c r="B6" s="24" t="s">
        <v>10</v>
      </c>
      <c r="C6" s="24"/>
      <c r="D6" s="24" t="s">
        <v>53</v>
      </c>
      <c r="E6" s="24" t="s">
        <v>54</v>
      </c>
      <c r="F6" s="24" t="s">
        <v>120</v>
      </c>
      <c r="G6" s="24">
        <v>0</v>
      </c>
      <c r="H6" s="24" t="s">
        <v>52</v>
      </c>
      <c r="I6" s="24">
        <v>0</v>
      </c>
      <c r="J6" s="24" t="s">
        <v>74</v>
      </c>
    </row>
    <row r="7" spans="1:10" x14ac:dyDescent="0.3">
      <c r="A7" s="23" t="s">
        <v>10</v>
      </c>
      <c r="B7" s="24" t="s">
        <v>10</v>
      </c>
      <c r="C7" s="24"/>
      <c r="D7" s="24" t="s">
        <v>50</v>
      </c>
      <c r="E7" s="24" t="s">
        <v>51</v>
      </c>
      <c r="F7" s="24" t="s">
        <v>121</v>
      </c>
      <c r="G7" s="24">
        <v>0</v>
      </c>
      <c r="H7" s="24" t="s">
        <v>47</v>
      </c>
      <c r="I7" s="24">
        <v>0</v>
      </c>
      <c r="J7" s="24" t="s">
        <v>74</v>
      </c>
    </row>
    <row r="8" spans="1:10" hidden="1" x14ac:dyDescent="0.3">
      <c r="A8" s="23" t="s">
        <v>122</v>
      </c>
      <c r="B8" s="24" t="s">
        <v>123</v>
      </c>
      <c r="C8" s="24"/>
      <c r="D8" s="24" t="s">
        <v>35</v>
      </c>
      <c r="E8" s="24" t="s">
        <v>45</v>
      </c>
      <c r="F8" s="24" t="s">
        <v>46</v>
      </c>
      <c r="G8" s="24">
        <v>0</v>
      </c>
      <c r="H8" s="24" t="s">
        <v>47</v>
      </c>
      <c r="I8" s="24">
        <v>3</v>
      </c>
      <c r="J8" s="24" t="s">
        <v>72</v>
      </c>
    </row>
    <row r="9" spans="1:10" hidden="1" x14ac:dyDescent="0.3">
      <c r="A9" s="23" t="s">
        <v>122</v>
      </c>
      <c r="B9" s="24" t="s">
        <v>123</v>
      </c>
      <c r="C9" s="24"/>
      <c r="D9" s="24" t="s">
        <v>35</v>
      </c>
      <c r="E9" s="24" t="s">
        <v>43</v>
      </c>
      <c r="F9" s="24" t="s">
        <v>124</v>
      </c>
      <c r="G9" s="24">
        <v>0</v>
      </c>
      <c r="H9" s="24" t="s">
        <v>44</v>
      </c>
      <c r="I9" s="24">
        <v>1</v>
      </c>
      <c r="J9" s="24" t="s">
        <v>72</v>
      </c>
    </row>
    <row r="10" spans="1:10" hidden="1" x14ac:dyDescent="0.3">
      <c r="A10" s="23" t="s">
        <v>125</v>
      </c>
      <c r="B10" s="24" t="s">
        <v>126</v>
      </c>
      <c r="C10" s="24"/>
      <c r="D10" s="24" t="s">
        <v>35</v>
      </c>
      <c r="E10" s="24" t="s">
        <v>41</v>
      </c>
      <c r="F10" s="24" t="s">
        <v>127</v>
      </c>
      <c r="G10" s="24">
        <v>0</v>
      </c>
      <c r="H10" s="24" t="s">
        <v>42</v>
      </c>
      <c r="I10" s="24">
        <v>0</v>
      </c>
      <c r="J10" s="24" t="s">
        <v>72</v>
      </c>
    </row>
    <row r="11" spans="1:10" hidden="1" x14ac:dyDescent="0.3">
      <c r="A11" s="23" t="s">
        <v>125</v>
      </c>
      <c r="B11" s="24" t="s">
        <v>10</v>
      </c>
      <c r="C11" s="24"/>
      <c r="D11" s="24" t="s">
        <v>35</v>
      </c>
      <c r="E11" s="24" t="s">
        <v>37</v>
      </c>
      <c r="F11" s="24" t="s">
        <v>128</v>
      </c>
      <c r="G11" s="24">
        <v>0</v>
      </c>
      <c r="H11" s="24" t="s">
        <v>38</v>
      </c>
      <c r="I11" s="24">
        <v>0</v>
      </c>
      <c r="J11" s="24" t="s">
        <v>72</v>
      </c>
    </row>
    <row r="12" spans="1:10" hidden="1" x14ac:dyDescent="0.3">
      <c r="A12" s="23" t="s">
        <v>129</v>
      </c>
      <c r="B12" s="24" t="s">
        <v>130</v>
      </c>
      <c r="C12" s="24"/>
      <c r="D12" s="24" t="s">
        <v>35</v>
      </c>
      <c r="E12" s="24" t="s">
        <v>36</v>
      </c>
      <c r="F12" s="24" t="s">
        <v>131</v>
      </c>
      <c r="G12" s="24">
        <v>0</v>
      </c>
      <c r="H12" s="24" t="s">
        <v>132</v>
      </c>
      <c r="I12" s="24">
        <v>0</v>
      </c>
      <c r="J12" s="24" t="s">
        <v>72</v>
      </c>
    </row>
    <row r="13" spans="1:10" hidden="1" x14ac:dyDescent="0.3">
      <c r="A13" s="23" t="s">
        <v>129</v>
      </c>
      <c r="B13" s="24" t="s">
        <v>10</v>
      </c>
      <c r="C13" s="24"/>
      <c r="D13" s="24" t="s">
        <v>17</v>
      </c>
      <c r="E13" s="24" t="s">
        <v>33</v>
      </c>
      <c r="F13" s="24" t="s">
        <v>133</v>
      </c>
      <c r="G13" s="24">
        <v>0</v>
      </c>
      <c r="H13" s="24" t="s">
        <v>34</v>
      </c>
      <c r="I13" s="24">
        <v>1</v>
      </c>
      <c r="J13" s="24" t="s">
        <v>72</v>
      </c>
    </row>
    <row r="14" spans="1:10" hidden="1" x14ac:dyDescent="0.3">
      <c r="A14" s="23" t="s">
        <v>129</v>
      </c>
      <c r="B14" s="24" t="s">
        <v>10</v>
      </c>
      <c r="C14" s="24"/>
      <c r="D14" s="24" t="s">
        <v>17</v>
      </c>
      <c r="E14" s="24" t="s">
        <v>31</v>
      </c>
      <c r="F14" s="24" t="s">
        <v>134</v>
      </c>
      <c r="G14" s="24">
        <v>2</v>
      </c>
      <c r="H14" s="24" t="s">
        <v>32</v>
      </c>
      <c r="I14" s="24">
        <v>0</v>
      </c>
      <c r="J14" s="24" t="s">
        <v>72</v>
      </c>
    </row>
    <row r="15" spans="1:10" hidden="1" x14ac:dyDescent="0.3">
      <c r="A15" s="23" t="s">
        <v>129</v>
      </c>
      <c r="B15" s="24" t="s">
        <v>10</v>
      </c>
      <c r="C15" s="24"/>
      <c r="D15" s="24" t="s">
        <v>17</v>
      </c>
      <c r="E15" s="24" t="s">
        <v>29</v>
      </c>
      <c r="F15" s="24" t="s">
        <v>135</v>
      </c>
      <c r="G15" s="24">
        <v>0</v>
      </c>
      <c r="H15" s="24" t="s">
        <v>30</v>
      </c>
      <c r="I15" s="24">
        <v>0</v>
      </c>
      <c r="J15" s="24" t="s">
        <v>72</v>
      </c>
    </row>
    <row r="16" spans="1:10" hidden="1" x14ac:dyDescent="0.3">
      <c r="A16" s="23" t="s">
        <v>136</v>
      </c>
      <c r="B16" s="24" t="s">
        <v>137</v>
      </c>
      <c r="C16" s="24"/>
      <c r="D16" s="24" t="s">
        <v>21</v>
      </c>
      <c r="E16" s="24" t="s">
        <v>27</v>
      </c>
      <c r="F16" s="24" t="s">
        <v>138</v>
      </c>
      <c r="G16" s="24">
        <v>0</v>
      </c>
      <c r="H16" s="24" t="s">
        <v>28</v>
      </c>
      <c r="I16" s="24">
        <v>0</v>
      </c>
      <c r="J16" s="24" t="s">
        <v>72</v>
      </c>
    </row>
    <row r="17" spans="1:10" hidden="1" x14ac:dyDescent="0.3">
      <c r="A17" s="23" t="s">
        <v>136</v>
      </c>
      <c r="B17" s="24" t="s">
        <v>10</v>
      </c>
      <c r="C17" s="24"/>
      <c r="D17" s="24" t="s">
        <v>21</v>
      </c>
      <c r="E17" s="24" t="s">
        <v>25</v>
      </c>
      <c r="F17" s="24" t="s">
        <v>139</v>
      </c>
      <c r="G17" s="24">
        <v>0</v>
      </c>
      <c r="H17" s="24" t="s">
        <v>26</v>
      </c>
      <c r="I17" s="24">
        <v>0</v>
      </c>
      <c r="J17" s="24" t="s">
        <v>72</v>
      </c>
    </row>
    <row r="18" spans="1:10" hidden="1" x14ac:dyDescent="0.3">
      <c r="A18" s="23" t="s">
        <v>136</v>
      </c>
      <c r="B18" s="24" t="s">
        <v>10</v>
      </c>
      <c r="C18" s="24"/>
      <c r="D18" s="24" t="s">
        <v>21</v>
      </c>
      <c r="E18" s="24" t="s">
        <v>23</v>
      </c>
      <c r="F18" s="24" t="s">
        <v>140</v>
      </c>
      <c r="G18" s="24">
        <v>2</v>
      </c>
      <c r="H18" s="24" t="s">
        <v>24</v>
      </c>
      <c r="I18" s="24">
        <v>1</v>
      </c>
      <c r="J18" s="24" t="s">
        <v>72</v>
      </c>
    </row>
    <row r="19" spans="1:10" hidden="1" x14ac:dyDescent="0.3">
      <c r="A19" s="23" t="s">
        <v>136</v>
      </c>
      <c r="B19" s="24" t="s">
        <v>10</v>
      </c>
      <c r="C19" s="24"/>
      <c r="D19" s="24" t="s">
        <v>21</v>
      </c>
      <c r="E19" s="24" t="s">
        <v>22</v>
      </c>
      <c r="F19" s="24" t="s">
        <v>141</v>
      </c>
      <c r="G19" s="24">
        <v>2</v>
      </c>
      <c r="H19" s="24" t="s">
        <v>142</v>
      </c>
      <c r="I19" s="24">
        <v>1</v>
      </c>
      <c r="J19" s="24" t="s">
        <v>72</v>
      </c>
    </row>
    <row r="20" spans="1:10" hidden="1" x14ac:dyDescent="0.3">
      <c r="A20" s="23" t="s">
        <v>136</v>
      </c>
      <c r="B20" s="24" t="s">
        <v>10</v>
      </c>
      <c r="C20" s="24"/>
      <c r="D20" s="24" t="s">
        <v>14</v>
      </c>
      <c r="E20" s="24" t="s">
        <v>19</v>
      </c>
      <c r="F20" s="24" t="s">
        <v>143</v>
      </c>
      <c r="G20" s="24">
        <v>0</v>
      </c>
      <c r="H20" s="24" t="s">
        <v>20</v>
      </c>
      <c r="I20" s="24">
        <v>1</v>
      </c>
      <c r="J20" s="24" t="s">
        <v>72</v>
      </c>
    </row>
    <row r="21" spans="1:10" hidden="1" x14ac:dyDescent="0.3">
      <c r="A21" s="23" t="s">
        <v>136</v>
      </c>
      <c r="B21" s="24" t="s">
        <v>10</v>
      </c>
      <c r="C21" s="24"/>
      <c r="D21" s="24" t="s">
        <v>17</v>
      </c>
      <c r="E21" s="24" t="s">
        <v>18</v>
      </c>
      <c r="F21" s="24" t="s">
        <v>144</v>
      </c>
      <c r="G21" s="24">
        <v>0</v>
      </c>
      <c r="H21" s="24" t="s">
        <v>145</v>
      </c>
      <c r="I21" s="24">
        <v>0</v>
      </c>
      <c r="J21" s="24" t="s">
        <v>72</v>
      </c>
    </row>
    <row r="22" spans="1:10" hidden="1" x14ac:dyDescent="0.3">
      <c r="A22" s="23" t="s">
        <v>136</v>
      </c>
      <c r="B22" s="24" t="s">
        <v>12</v>
      </c>
      <c r="C22" s="24"/>
      <c r="D22" s="24" t="s">
        <v>14</v>
      </c>
      <c r="E22" s="24" t="s">
        <v>15</v>
      </c>
      <c r="F22" s="24" t="s">
        <v>146</v>
      </c>
      <c r="G22" s="24">
        <v>0</v>
      </c>
      <c r="H22" s="24" t="s">
        <v>16</v>
      </c>
      <c r="I22" s="24">
        <v>0</v>
      </c>
      <c r="J22" s="24" t="s">
        <v>72</v>
      </c>
    </row>
    <row r="23" spans="1:10" hidden="1" x14ac:dyDescent="0.3">
      <c r="A23" s="23" t="s">
        <v>136</v>
      </c>
      <c r="B23" s="24" t="s">
        <v>10</v>
      </c>
      <c r="C23" s="24"/>
      <c r="D23" s="24" t="s">
        <v>12</v>
      </c>
      <c r="E23" s="24" t="s">
        <v>13</v>
      </c>
      <c r="F23" s="24" t="s">
        <v>147</v>
      </c>
      <c r="G23" s="24">
        <v>0</v>
      </c>
      <c r="H23" s="24" t="s">
        <v>148</v>
      </c>
      <c r="I23" s="24">
        <v>1</v>
      </c>
      <c r="J23" s="24" t="s">
        <v>72</v>
      </c>
    </row>
    <row r="24" spans="1:10" x14ac:dyDescent="0.3">
      <c r="A24" s="23"/>
      <c r="B24" s="24"/>
      <c r="C24" s="24"/>
      <c r="D24" s="24"/>
      <c r="E24" s="24"/>
      <c r="F24" s="24"/>
      <c r="G24" s="24"/>
      <c r="H24" s="24"/>
      <c r="I24" s="24"/>
      <c r="J24" s="24"/>
    </row>
    <row r="25" spans="1:10" x14ac:dyDescent="0.3">
      <c r="A25" s="23"/>
      <c r="B25" s="24"/>
      <c r="C25" s="24"/>
      <c r="D25" s="24"/>
      <c r="E25" s="24"/>
      <c r="F25" s="24"/>
      <c r="G25" s="24"/>
      <c r="H25" s="24"/>
      <c r="I25" s="24"/>
      <c r="J25" s="24"/>
    </row>
    <row r="26" spans="1:10" x14ac:dyDescent="0.3">
      <c r="A26" s="23"/>
      <c r="B26" s="24"/>
      <c r="C26" s="24"/>
      <c r="D26" s="24"/>
      <c r="E26" s="24"/>
      <c r="F26" s="24"/>
      <c r="G26" s="24"/>
      <c r="H26" s="24"/>
      <c r="I26" s="24"/>
      <c r="J26" s="24"/>
    </row>
    <row r="27" spans="1:10" x14ac:dyDescent="0.3">
      <c r="A27" s="23"/>
      <c r="B27" s="24"/>
      <c r="C27" s="24"/>
      <c r="D27" s="24"/>
      <c r="E27" s="24"/>
      <c r="F27" s="24"/>
      <c r="G27" s="24"/>
      <c r="H27" s="24"/>
      <c r="I27" s="24"/>
      <c r="J27" s="24"/>
    </row>
    <row r="28" spans="1:10" x14ac:dyDescent="0.3">
      <c r="A28" s="23"/>
      <c r="B28" s="24"/>
      <c r="C28" s="24"/>
      <c r="D28" s="24"/>
      <c r="E28" s="24"/>
      <c r="F28" s="24"/>
      <c r="G28" s="24"/>
      <c r="H28" s="24"/>
      <c r="I28" s="24"/>
      <c r="J28" s="24"/>
    </row>
    <row r="29" spans="1:10" x14ac:dyDescent="0.3">
      <c r="A29" s="23"/>
      <c r="B29" s="24"/>
      <c r="C29" s="24"/>
      <c r="D29" s="24"/>
      <c r="E29" s="24"/>
      <c r="F29" s="24"/>
      <c r="G29" s="24"/>
      <c r="H29" s="24"/>
      <c r="I29" s="24"/>
      <c r="J29" s="24"/>
    </row>
    <row r="30" spans="1:10" x14ac:dyDescent="0.3">
      <c r="A30" s="23"/>
      <c r="B30" s="24"/>
      <c r="C30" s="24"/>
      <c r="D30" s="24"/>
      <c r="E30" s="24"/>
      <c r="F30" s="24"/>
      <c r="G30" s="24"/>
      <c r="H30" s="24"/>
      <c r="I30" s="24"/>
      <c r="J30" s="24"/>
    </row>
    <row r="31" spans="1:10" x14ac:dyDescent="0.3">
      <c r="A31" s="23"/>
      <c r="B31" s="24"/>
      <c r="C31" s="24"/>
      <c r="D31" s="24"/>
      <c r="E31" s="24"/>
      <c r="F31" s="24"/>
      <c r="G31" s="24"/>
      <c r="H31" s="24"/>
      <c r="I31" s="24"/>
      <c r="J31" s="24"/>
    </row>
    <row r="32" spans="1:10" x14ac:dyDescent="0.3">
      <c r="A32" s="23"/>
      <c r="B32" s="24"/>
      <c r="C32" s="24"/>
      <c r="D32" s="24"/>
      <c r="E32" s="24"/>
      <c r="F32" s="24"/>
      <c r="G32" s="24"/>
      <c r="H32" s="24"/>
      <c r="I32" s="24"/>
      <c r="J32" s="24"/>
    </row>
    <row r="33" spans="1:10" x14ac:dyDescent="0.3">
      <c r="A33" s="23"/>
      <c r="B33" s="24"/>
      <c r="C33" s="24"/>
      <c r="D33" s="24"/>
      <c r="E33" s="24"/>
      <c r="F33" s="24"/>
      <c r="G33" s="24"/>
      <c r="H33" s="24"/>
      <c r="I33" s="24"/>
      <c r="J33" s="24"/>
    </row>
    <row r="34" spans="1:10" x14ac:dyDescent="0.3">
      <c r="A34" s="23"/>
      <c r="B34" s="24"/>
      <c r="C34" s="24"/>
      <c r="D34" s="24"/>
      <c r="E34" s="24"/>
      <c r="F34" s="24"/>
      <c r="G34" s="24"/>
      <c r="H34" s="24"/>
      <c r="I34" s="24"/>
      <c r="J34" s="24"/>
    </row>
    <row r="35" spans="1:10" x14ac:dyDescent="0.3">
      <c r="A35" s="23"/>
      <c r="B35" s="24"/>
      <c r="C35" s="24"/>
      <c r="D35" s="24"/>
      <c r="E35" s="24"/>
      <c r="F35" s="24"/>
      <c r="G35" s="24"/>
      <c r="H35" s="24"/>
      <c r="I35" s="24"/>
      <c r="J35" s="24"/>
    </row>
    <row r="36" spans="1:10" x14ac:dyDescent="0.3">
      <c r="A36" s="23"/>
      <c r="B36" s="24"/>
      <c r="C36" s="24"/>
      <c r="D36" s="24"/>
      <c r="E36" s="24"/>
      <c r="F36" s="24"/>
      <c r="G36" s="24"/>
      <c r="H36" s="24"/>
      <c r="I36" s="24"/>
      <c r="J36" s="24"/>
    </row>
    <row r="37" spans="1:10" x14ac:dyDescent="0.3">
      <c r="A37" s="23"/>
      <c r="B37" s="24"/>
      <c r="C37" s="24"/>
      <c r="D37" s="24"/>
      <c r="E37" s="24"/>
      <c r="F37" s="24"/>
      <c r="G37" s="24"/>
      <c r="H37" s="24"/>
      <c r="I37" s="24"/>
      <c r="J37" s="24"/>
    </row>
    <row r="38" spans="1:10" x14ac:dyDescent="0.3">
      <c r="A38" s="23"/>
      <c r="B38" s="24"/>
      <c r="C38" s="24"/>
      <c r="D38" s="24"/>
      <c r="E38" s="24"/>
      <c r="F38" s="24"/>
      <c r="G38" s="24"/>
      <c r="H38" s="24"/>
      <c r="I38" s="24"/>
      <c r="J38" s="24"/>
    </row>
    <row r="39" spans="1:10" x14ac:dyDescent="0.3">
      <c r="A39" s="23"/>
      <c r="B39" s="24"/>
      <c r="C39" s="24"/>
      <c r="D39" s="24"/>
      <c r="E39" s="24"/>
      <c r="F39" s="24"/>
      <c r="G39" s="24"/>
      <c r="H39" s="24"/>
      <c r="I39" s="24"/>
      <c r="J39" s="24"/>
    </row>
    <row r="40" spans="1:10" x14ac:dyDescent="0.3">
      <c r="A40" s="23"/>
      <c r="B40" s="24"/>
      <c r="C40" s="24"/>
      <c r="D40" s="24"/>
      <c r="E40" s="24"/>
      <c r="F40" s="24"/>
      <c r="G40" s="24"/>
      <c r="H40" s="24"/>
      <c r="I40" s="24"/>
      <c r="J40" s="24"/>
    </row>
    <row r="41" spans="1:10" x14ac:dyDescent="0.3">
      <c r="A41" s="23"/>
      <c r="B41" s="24"/>
      <c r="C41" s="24"/>
      <c r="D41" s="24"/>
      <c r="E41" s="24"/>
      <c r="F41" s="24"/>
      <c r="G41" s="24"/>
      <c r="H41" s="24"/>
      <c r="I41" s="24"/>
      <c r="J41" s="24"/>
    </row>
    <row r="42" spans="1:10" x14ac:dyDescent="0.3">
      <c r="A42" s="23"/>
      <c r="B42" s="24"/>
      <c r="C42" s="24"/>
      <c r="D42" s="24"/>
      <c r="E42" s="24"/>
      <c r="F42" s="24"/>
      <c r="G42" s="24"/>
      <c r="H42" s="24"/>
      <c r="I42" s="24"/>
      <c r="J42" s="24"/>
    </row>
    <row r="43" spans="1:10" x14ac:dyDescent="0.3">
      <c r="A43" s="23"/>
      <c r="B43" s="24"/>
      <c r="C43" s="24"/>
      <c r="D43" s="24"/>
      <c r="E43" s="24"/>
      <c r="F43" s="24"/>
      <c r="G43" s="24"/>
      <c r="H43" s="24"/>
      <c r="I43" s="24"/>
      <c r="J43" s="24"/>
    </row>
    <row r="44" spans="1:10" x14ac:dyDescent="0.3">
      <c r="A44" s="23"/>
      <c r="B44" s="24"/>
      <c r="C44" s="24"/>
      <c r="D44" s="24"/>
      <c r="E44" s="24"/>
      <c r="F44" s="24"/>
      <c r="G44" s="24"/>
      <c r="H44" s="24"/>
      <c r="I44" s="24"/>
      <c r="J44" s="24"/>
    </row>
    <row r="45" spans="1:10" x14ac:dyDescent="0.3">
      <c r="A45" s="23"/>
      <c r="B45" s="24"/>
      <c r="C45" s="24"/>
      <c r="D45" s="24"/>
      <c r="E45" s="24"/>
      <c r="F45" s="24"/>
      <c r="G45" s="24"/>
      <c r="H45" s="24"/>
      <c r="I45" s="24"/>
      <c r="J45" s="24"/>
    </row>
    <row r="46" spans="1:10" x14ac:dyDescent="0.3">
      <c r="A46" s="23"/>
      <c r="B46" s="24"/>
      <c r="C46" s="24"/>
      <c r="D46" s="24"/>
      <c r="E46" s="24"/>
      <c r="F46" s="24"/>
      <c r="G46" s="24"/>
      <c r="H46" s="24"/>
      <c r="I46" s="24"/>
      <c r="J46" s="24"/>
    </row>
    <row r="47" spans="1:10" x14ac:dyDescent="0.3">
      <c r="A47" s="23"/>
      <c r="B47" s="24"/>
      <c r="C47" s="24"/>
      <c r="D47" s="24"/>
      <c r="E47" s="24"/>
      <c r="F47" s="24"/>
      <c r="G47" s="24"/>
      <c r="H47" s="24"/>
      <c r="I47" s="24"/>
      <c r="J47" s="24"/>
    </row>
    <row r="48" spans="1:10" x14ac:dyDescent="0.3">
      <c r="A48" s="23"/>
      <c r="B48" s="24"/>
      <c r="C48" s="24"/>
      <c r="D48" s="24"/>
      <c r="E48" s="24"/>
      <c r="F48" s="24"/>
      <c r="G48" s="24"/>
      <c r="H48" s="24"/>
      <c r="I48" s="24"/>
      <c r="J48" s="24"/>
    </row>
    <row r="49" spans="1:10" x14ac:dyDescent="0.3">
      <c r="A49" s="23"/>
      <c r="B49" s="24"/>
      <c r="C49" s="24"/>
      <c r="D49" s="24"/>
      <c r="E49" s="24"/>
      <c r="F49" s="24"/>
      <c r="G49" s="24"/>
      <c r="H49" s="24"/>
      <c r="I49" s="24"/>
      <c r="J49" s="24"/>
    </row>
    <row r="50" spans="1:10" x14ac:dyDescent="0.3">
      <c r="A50" s="23"/>
      <c r="B50" s="24"/>
      <c r="C50" s="24"/>
      <c r="D50" s="24"/>
      <c r="E50" s="24"/>
      <c r="F50" s="24"/>
      <c r="G50" s="24"/>
      <c r="H50" s="24"/>
      <c r="I50" s="24"/>
      <c r="J50" s="24"/>
    </row>
    <row r="51" spans="1:10" x14ac:dyDescent="0.3">
      <c r="A51" s="23"/>
      <c r="B51" s="24"/>
      <c r="C51" s="24"/>
      <c r="D51" s="24"/>
      <c r="E51" s="24"/>
      <c r="F51" s="24"/>
      <c r="G51" s="24"/>
      <c r="H51" s="24"/>
      <c r="I51" s="24"/>
      <c r="J51" s="24"/>
    </row>
    <row r="52" spans="1:10" x14ac:dyDescent="0.3">
      <c r="A52" s="23"/>
      <c r="B52" s="24"/>
      <c r="C52" s="24"/>
      <c r="D52" s="24"/>
      <c r="E52" s="24"/>
      <c r="F52" s="24"/>
      <c r="G52" s="24"/>
      <c r="H52" s="24"/>
      <c r="I52" s="24"/>
      <c r="J52" s="24"/>
    </row>
    <row r="53" spans="1:10" x14ac:dyDescent="0.3">
      <c r="A53" s="23"/>
      <c r="B53" s="24"/>
      <c r="C53" s="24"/>
      <c r="D53" s="24"/>
      <c r="E53" s="24"/>
      <c r="F53" s="24"/>
      <c r="G53" s="24"/>
      <c r="H53" s="24"/>
      <c r="I53" s="24"/>
      <c r="J53" s="24"/>
    </row>
    <row r="54" spans="1:10" x14ac:dyDescent="0.3">
      <c r="A54" s="23"/>
      <c r="B54" s="24"/>
      <c r="C54" s="24"/>
      <c r="D54" s="24"/>
      <c r="E54" s="24"/>
      <c r="F54" s="24"/>
      <c r="G54" s="24"/>
      <c r="H54" s="24"/>
      <c r="I54" s="24"/>
      <c r="J54" s="24"/>
    </row>
    <row r="55" spans="1:10" x14ac:dyDescent="0.3">
      <c r="A55" s="23"/>
      <c r="B55" s="24"/>
      <c r="C55" s="24"/>
      <c r="D55" s="24"/>
      <c r="E55" s="24"/>
      <c r="F55" s="24"/>
      <c r="G55" s="24"/>
      <c r="H55" s="24"/>
      <c r="I55" s="24"/>
      <c r="J55" s="24"/>
    </row>
    <row r="56" spans="1:10" x14ac:dyDescent="0.3">
      <c r="A56" s="23"/>
      <c r="B56" s="24"/>
      <c r="C56" s="24"/>
      <c r="D56" s="24"/>
      <c r="E56" s="24"/>
      <c r="F56" s="24"/>
      <c r="G56" s="24"/>
      <c r="H56" s="24"/>
      <c r="I56" s="24"/>
      <c r="J56" s="24"/>
    </row>
    <row r="57" spans="1:10" x14ac:dyDescent="0.3">
      <c r="A57" s="23"/>
      <c r="B57" s="24"/>
      <c r="C57" s="24"/>
      <c r="D57" s="24"/>
      <c r="E57" s="24"/>
      <c r="F57" s="24"/>
      <c r="G57" s="24"/>
      <c r="H57" s="24"/>
      <c r="I57" s="24"/>
      <c r="J57" s="24"/>
    </row>
    <row r="58" spans="1:10" x14ac:dyDescent="0.3">
      <c r="A58" s="23"/>
      <c r="B58" s="24"/>
      <c r="C58" s="24"/>
      <c r="D58" s="24"/>
      <c r="E58" s="24"/>
      <c r="F58" s="24"/>
      <c r="G58" s="24"/>
      <c r="H58" s="24"/>
      <c r="I58" s="24"/>
      <c r="J58" s="24"/>
    </row>
    <row r="59" spans="1:10" x14ac:dyDescent="0.3">
      <c r="A59" s="23"/>
      <c r="B59" s="24"/>
      <c r="C59" s="24"/>
      <c r="D59" s="24"/>
      <c r="E59" s="24"/>
      <c r="F59" s="24"/>
      <c r="G59" s="24"/>
      <c r="H59" s="24"/>
      <c r="I59" s="24"/>
      <c r="J59" s="24"/>
    </row>
    <row r="60" spans="1:10" x14ac:dyDescent="0.3">
      <c r="A60" s="23"/>
      <c r="B60" s="24"/>
      <c r="C60" s="24"/>
      <c r="D60" s="24"/>
      <c r="E60" s="24"/>
      <c r="F60" s="24"/>
      <c r="G60" s="24"/>
      <c r="H60" s="24"/>
      <c r="I60" s="24"/>
      <c r="J60" s="24"/>
    </row>
    <row r="61" spans="1:10" x14ac:dyDescent="0.3">
      <c r="A61" s="23"/>
      <c r="B61" s="24"/>
      <c r="C61" s="24"/>
      <c r="D61" s="24"/>
      <c r="E61" s="24"/>
      <c r="F61" s="24"/>
      <c r="G61" s="24"/>
      <c r="H61" s="24"/>
      <c r="I61" s="24"/>
      <c r="J61" s="24"/>
    </row>
    <row r="62" spans="1:10" x14ac:dyDescent="0.3">
      <c r="A62" s="23"/>
      <c r="B62" s="24"/>
      <c r="C62" s="24"/>
      <c r="D62" s="24"/>
      <c r="E62" s="24"/>
      <c r="F62" s="24"/>
      <c r="G62" s="24"/>
      <c r="H62" s="24"/>
      <c r="I62" s="24"/>
      <c r="J62" s="24"/>
    </row>
    <row r="63" spans="1:10" x14ac:dyDescent="0.3">
      <c r="A63" s="23"/>
      <c r="B63" s="24"/>
      <c r="C63" s="24"/>
      <c r="D63" s="24"/>
      <c r="E63" s="24"/>
      <c r="F63" s="24"/>
      <c r="G63" s="24"/>
      <c r="H63" s="24"/>
      <c r="I63" s="24"/>
      <c r="J63" s="24"/>
    </row>
    <row r="64" spans="1:10" x14ac:dyDescent="0.3">
      <c r="A64" s="23"/>
      <c r="B64" s="24"/>
      <c r="C64" s="24"/>
      <c r="D64" s="24"/>
      <c r="E64" s="24"/>
      <c r="F64" s="24"/>
      <c r="G64" s="24"/>
      <c r="H64" s="24"/>
      <c r="I64" s="24"/>
      <c r="J64" s="24"/>
    </row>
    <row r="65" spans="1:10" x14ac:dyDescent="0.3">
      <c r="A65" s="23"/>
      <c r="B65" s="24"/>
      <c r="C65" s="24"/>
      <c r="D65" s="24"/>
      <c r="E65" s="24"/>
      <c r="F65" s="24"/>
      <c r="G65" s="24"/>
      <c r="H65" s="24"/>
      <c r="I65" s="24"/>
      <c r="J65" s="24"/>
    </row>
    <row r="66" spans="1:10" x14ac:dyDescent="0.3">
      <c r="A66" s="23"/>
      <c r="B66" s="24"/>
      <c r="C66" s="24"/>
      <c r="D66" s="24"/>
      <c r="E66" s="24"/>
      <c r="F66" s="24"/>
      <c r="G66" s="24"/>
      <c r="H66" s="24"/>
      <c r="I66" s="24"/>
      <c r="J66" s="24"/>
    </row>
    <row r="67" spans="1:10" x14ac:dyDescent="0.3">
      <c r="A67" s="23"/>
      <c r="B67" s="24"/>
      <c r="C67" s="24"/>
      <c r="D67" s="24"/>
      <c r="E67" s="24"/>
      <c r="F67" s="24"/>
      <c r="G67" s="24"/>
      <c r="H67" s="24"/>
      <c r="I67" s="24"/>
      <c r="J67" s="24"/>
    </row>
    <row r="68" spans="1:10" x14ac:dyDescent="0.3">
      <c r="A68" s="23"/>
      <c r="B68" s="24"/>
      <c r="C68" s="24"/>
      <c r="D68" s="24"/>
      <c r="E68" s="24"/>
      <c r="F68" s="24"/>
      <c r="G68" s="24"/>
      <c r="H68" s="24"/>
      <c r="I68" s="24"/>
      <c r="J68" s="24"/>
    </row>
    <row r="69" spans="1:10" x14ac:dyDescent="0.3">
      <c r="A69" s="23"/>
      <c r="B69" s="24"/>
      <c r="C69" s="24"/>
      <c r="D69" s="24"/>
      <c r="E69" s="24"/>
      <c r="F69" s="24"/>
      <c r="G69" s="24"/>
      <c r="H69" s="24"/>
      <c r="I69" s="24"/>
      <c r="J69" s="24"/>
    </row>
    <row r="70" spans="1:10" x14ac:dyDescent="0.3">
      <c r="A70" s="23"/>
      <c r="B70" s="24"/>
      <c r="C70" s="24"/>
      <c r="D70" s="24"/>
      <c r="E70" s="24"/>
      <c r="F70" s="24"/>
      <c r="G70" s="24"/>
      <c r="H70" s="24"/>
      <c r="I70" s="24"/>
      <c r="J70" s="24"/>
    </row>
    <row r="71" spans="1:10" x14ac:dyDescent="0.3">
      <c r="A71" s="23"/>
      <c r="B71" s="24"/>
      <c r="C71" s="24"/>
      <c r="D71" s="24"/>
      <c r="E71" s="24"/>
      <c r="F71" s="24"/>
      <c r="G71" s="24"/>
      <c r="H71" s="24"/>
      <c r="I71" s="24"/>
      <c r="J71" s="24"/>
    </row>
    <row r="72" spans="1:10" x14ac:dyDescent="0.3">
      <c r="A72" s="23"/>
      <c r="B72" s="24"/>
      <c r="C72" s="24"/>
      <c r="D72" s="24"/>
      <c r="E72" s="24"/>
      <c r="F72" s="24"/>
      <c r="G72" s="24"/>
      <c r="H72" s="24"/>
      <c r="I72" s="24"/>
      <c r="J72" s="24"/>
    </row>
    <row r="73" spans="1:10" x14ac:dyDescent="0.3">
      <c r="A73" s="23"/>
      <c r="B73" s="24"/>
      <c r="C73" s="24"/>
      <c r="D73" s="24"/>
      <c r="E73" s="24"/>
      <c r="F73" s="24"/>
      <c r="G73" s="24"/>
      <c r="H73" s="24"/>
      <c r="I73" s="24"/>
      <c r="J73" s="24"/>
    </row>
    <row r="74" spans="1:10" s="31" customFormat="1" x14ac:dyDescent="0.3"/>
    <row r="75" spans="1:10" s="31" customFormat="1" x14ac:dyDescent="0.3"/>
    <row r="76" spans="1:10" s="31" customFormat="1" x14ac:dyDescent="0.3"/>
    <row r="77" spans="1:10" s="31" customFormat="1" x14ac:dyDescent="0.3"/>
    <row r="78" spans="1:10" s="31" customFormat="1" x14ac:dyDescent="0.3"/>
    <row r="79" spans="1:10" s="31" customFormat="1" x14ac:dyDescent="0.3"/>
    <row r="80" spans="1:10" s="31" customFormat="1" x14ac:dyDescent="0.3"/>
    <row r="81" s="31" customFormat="1" x14ac:dyDescent="0.3"/>
    <row r="82" s="31" customFormat="1" x14ac:dyDescent="0.3"/>
    <row r="83" s="31" customFormat="1" x14ac:dyDescent="0.3"/>
    <row r="84" s="31" customFormat="1" x14ac:dyDescent="0.3"/>
    <row r="85" s="31" customFormat="1" x14ac:dyDescent="0.3"/>
    <row r="86" s="31" customFormat="1" x14ac:dyDescent="0.3"/>
    <row r="87" s="31" customFormat="1" x14ac:dyDescent="0.3"/>
    <row r="88" s="31" customFormat="1" x14ac:dyDescent="0.3"/>
    <row r="89" s="31" customFormat="1" x14ac:dyDescent="0.3"/>
    <row r="90" s="31" customFormat="1" x14ac:dyDescent="0.3"/>
    <row r="91" s="31" customFormat="1" x14ac:dyDescent="0.3"/>
    <row r="92" s="31" customFormat="1" x14ac:dyDescent="0.3"/>
    <row r="93" s="31" customFormat="1" x14ac:dyDescent="0.3"/>
    <row r="94" s="31" customFormat="1" x14ac:dyDescent="0.3"/>
    <row r="95" s="31" customFormat="1" x14ac:dyDescent="0.3"/>
    <row r="96" s="31" customFormat="1" x14ac:dyDescent="0.3"/>
    <row r="97" s="31" customFormat="1" x14ac:dyDescent="0.3"/>
    <row r="98" s="31" customFormat="1" x14ac:dyDescent="0.3"/>
    <row r="99" s="31" customFormat="1" x14ac:dyDescent="0.3"/>
    <row r="100" s="31" customFormat="1" x14ac:dyDescent="0.3"/>
    <row r="101" s="31" customFormat="1" x14ac:dyDescent="0.3"/>
    <row r="102" s="31" customFormat="1" x14ac:dyDescent="0.3"/>
    <row r="103" s="31" customFormat="1" x14ac:dyDescent="0.3"/>
    <row r="104" s="31" customFormat="1" x14ac:dyDescent="0.3"/>
    <row r="105" s="31" customFormat="1" x14ac:dyDescent="0.3"/>
    <row r="106" s="31" customFormat="1" x14ac:dyDescent="0.3"/>
    <row r="107" s="31" customFormat="1" x14ac:dyDescent="0.3"/>
    <row r="108" s="31" customFormat="1" x14ac:dyDescent="0.3"/>
    <row r="109" s="31" customFormat="1" x14ac:dyDescent="0.3"/>
    <row r="110" s="31" customFormat="1" x14ac:dyDescent="0.3"/>
    <row r="111" s="31" customFormat="1" x14ac:dyDescent="0.3"/>
    <row r="112" s="31" customFormat="1" x14ac:dyDescent="0.3"/>
    <row r="113" s="31" customFormat="1" x14ac:dyDescent="0.3"/>
    <row r="114" s="31" customFormat="1" x14ac:dyDescent="0.3"/>
    <row r="115" s="31" customFormat="1" x14ac:dyDescent="0.3"/>
    <row r="116" s="31" customFormat="1" x14ac:dyDescent="0.3"/>
    <row r="117" s="31" customFormat="1" x14ac:dyDescent="0.3"/>
    <row r="118" s="31" customFormat="1" x14ac:dyDescent="0.3"/>
    <row r="119" s="31" customFormat="1" x14ac:dyDescent="0.3"/>
    <row r="120" s="31" customFormat="1" x14ac:dyDescent="0.3"/>
    <row r="121" s="31" customFormat="1" x14ac:dyDescent="0.3"/>
    <row r="122" s="31" customFormat="1" x14ac:dyDescent="0.3"/>
    <row r="123" s="31" customFormat="1" x14ac:dyDescent="0.3"/>
    <row r="124" s="31" customFormat="1" x14ac:dyDescent="0.3"/>
    <row r="125" s="31" customFormat="1" x14ac:dyDescent="0.3"/>
    <row r="126" s="31" customFormat="1" x14ac:dyDescent="0.3"/>
    <row r="127" s="31" customFormat="1" x14ac:dyDescent="0.3"/>
    <row r="128" s="31" customFormat="1" x14ac:dyDescent="0.3"/>
    <row r="129" s="31" customFormat="1" x14ac:dyDescent="0.3"/>
    <row r="130" s="31" customFormat="1" x14ac:dyDescent="0.3"/>
    <row r="131" s="31" customFormat="1" x14ac:dyDescent="0.3"/>
    <row r="132" s="31" customFormat="1" x14ac:dyDescent="0.3"/>
    <row r="133" s="31" customFormat="1" x14ac:dyDescent="0.3"/>
    <row r="134" s="31" customFormat="1" x14ac:dyDescent="0.3"/>
    <row r="135" s="31" customFormat="1" x14ac:dyDescent="0.3"/>
    <row r="136" s="31" customFormat="1" x14ac:dyDescent="0.3"/>
    <row r="137" s="31" customFormat="1" x14ac:dyDescent="0.3"/>
    <row r="138" s="31" customFormat="1" x14ac:dyDescent="0.3"/>
    <row r="139" s="31" customFormat="1" x14ac:dyDescent="0.3"/>
    <row r="140" s="31" customFormat="1" x14ac:dyDescent="0.3"/>
    <row r="141" s="31" customFormat="1" x14ac:dyDescent="0.3"/>
    <row r="142" s="31" customFormat="1" x14ac:dyDescent="0.3"/>
    <row r="143" s="31" customFormat="1" x14ac:dyDescent="0.3"/>
    <row r="144" s="31" customFormat="1" x14ac:dyDescent="0.3"/>
    <row r="145" s="31" customFormat="1" x14ac:dyDescent="0.3"/>
    <row r="146" s="31" customFormat="1" x14ac:dyDescent="0.3"/>
    <row r="147" s="31" customFormat="1" x14ac:dyDescent="0.3"/>
    <row r="148" s="31" customFormat="1" x14ac:dyDescent="0.3"/>
    <row r="149" s="31" customFormat="1" x14ac:dyDescent="0.3"/>
    <row r="150" s="31" customFormat="1" x14ac:dyDescent="0.3"/>
    <row r="151" s="31" customFormat="1" x14ac:dyDescent="0.3"/>
    <row r="152" s="31" customFormat="1" x14ac:dyDescent="0.3"/>
    <row r="153" s="31" customFormat="1" x14ac:dyDescent="0.3"/>
    <row r="154" s="31" customFormat="1" x14ac:dyDescent="0.3"/>
    <row r="155" s="31" customFormat="1" x14ac:dyDescent="0.3"/>
    <row r="156" s="31" customFormat="1" x14ac:dyDescent="0.3"/>
    <row r="157" s="31" customFormat="1" x14ac:dyDescent="0.3"/>
    <row r="158" s="31" customFormat="1" x14ac:dyDescent="0.3"/>
    <row r="159" s="31" customFormat="1" x14ac:dyDescent="0.3"/>
    <row r="160" s="31" customFormat="1" x14ac:dyDescent="0.3"/>
    <row r="161" s="31" customFormat="1" x14ac:dyDescent="0.3"/>
    <row r="162" s="31" customFormat="1" x14ac:dyDescent="0.3"/>
    <row r="163" s="31" customFormat="1" x14ac:dyDescent="0.3"/>
    <row r="164" s="31" customFormat="1" x14ac:dyDescent="0.3"/>
    <row r="165" s="31" customFormat="1" x14ac:dyDescent="0.3"/>
    <row r="166" s="31" customFormat="1" x14ac:dyDescent="0.3"/>
    <row r="167" s="31" customFormat="1" x14ac:dyDescent="0.3"/>
    <row r="168" s="31" customFormat="1" x14ac:dyDescent="0.3"/>
    <row r="169" s="31" customFormat="1" x14ac:dyDescent="0.3"/>
    <row r="170" s="31" customFormat="1" x14ac:dyDescent="0.3"/>
    <row r="171" s="31" customFormat="1" x14ac:dyDescent="0.3"/>
    <row r="172" s="31" customFormat="1" x14ac:dyDescent="0.3"/>
    <row r="173" s="31" customFormat="1" x14ac:dyDescent="0.3"/>
    <row r="174" s="31" customFormat="1" x14ac:dyDescent="0.3"/>
    <row r="175" s="31" customFormat="1" x14ac:dyDescent="0.3"/>
    <row r="176" s="31" customFormat="1" x14ac:dyDescent="0.3"/>
    <row r="177" s="31" customFormat="1" x14ac:dyDescent="0.3"/>
    <row r="178" s="31" customFormat="1" x14ac:dyDescent="0.3"/>
    <row r="179" s="31" customFormat="1" x14ac:dyDescent="0.3"/>
    <row r="180" s="31" customFormat="1" x14ac:dyDescent="0.3"/>
    <row r="181" s="31" customFormat="1" x14ac:dyDescent="0.3"/>
    <row r="182" s="31" customFormat="1" x14ac:dyDescent="0.3"/>
    <row r="183" s="31" customFormat="1" x14ac:dyDescent="0.3"/>
    <row r="184" s="31" customFormat="1" x14ac:dyDescent="0.3"/>
    <row r="185" s="31" customFormat="1" x14ac:dyDescent="0.3"/>
    <row r="186" s="31" customFormat="1" x14ac:dyDescent="0.3"/>
    <row r="187" s="31" customFormat="1" x14ac:dyDescent="0.3"/>
    <row r="188" s="31" customFormat="1" x14ac:dyDescent="0.3"/>
    <row r="189" s="31" customFormat="1" x14ac:dyDescent="0.3"/>
    <row r="190" s="31" customFormat="1" x14ac:dyDescent="0.3"/>
    <row r="191" s="31" customFormat="1" x14ac:dyDescent="0.3"/>
    <row r="192" s="31" customFormat="1" x14ac:dyDescent="0.3"/>
    <row r="193" s="31" customFormat="1" x14ac:dyDescent="0.3"/>
    <row r="194" s="31" customFormat="1" x14ac:dyDescent="0.3"/>
    <row r="195" s="31" customFormat="1" x14ac:dyDescent="0.3"/>
    <row r="196" s="31" customFormat="1" x14ac:dyDescent="0.3"/>
    <row r="197" s="31" customFormat="1" x14ac:dyDescent="0.3"/>
    <row r="198" s="31" customFormat="1" x14ac:dyDescent="0.3"/>
    <row r="199" s="31" customFormat="1" x14ac:dyDescent="0.3"/>
    <row r="200" s="31" customFormat="1" x14ac:dyDescent="0.3"/>
    <row r="201" s="31" customFormat="1" x14ac:dyDescent="0.3"/>
    <row r="202" s="31" customFormat="1" x14ac:dyDescent="0.3"/>
    <row r="203" s="31" customFormat="1" x14ac:dyDescent="0.3"/>
    <row r="204" s="31" customFormat="1" x14ac:dyDescent="0.3"/>
    <row r="205" s="31" customFormat="1" x14ac:dyDescent="0.3"/>
    <row r="206" s="31" customFormat="1" x14ac:dyDescent="0.3"/>
    <row r="207" s="31" customFormat="1" x14ac:dyDescent="0.3"/>
    <row r="208" s="31" customFormat="1" x14ac:dyDescent="0.3"/>
    <row r="209" s="31" customFormat="1" x14ac:dyDescent="0.3"/>
    <row r="210" s="31" customFormat="1" x14ac:dyDescent="0.3"/>
    <row r="211" s="31" customFormat="1" x14ac:dyDescent="0.3"/>
    <row r="212" s="31" customFormat="1" x14ac:dyDescent="0.3"/>
    <row r="213" s="31" customFormat="1" x14ac:dyDescent="0.3"/>
    <row r="214" s="31" customFormat="1" x14ac:dyDescent="0.3"/>
    <row r="215" s="31" customFormat="1" x14ac:dyDescent="0.3"/>
    <row r="216" s="31" customFormat="1" x14ac:dyDescent="0.3"/>
    <row r="217" s="31" customFormat="1" x14ac:dyDescent="0.3"/>
    <row r="218" s="31" customFormat="1" x14ac:dyDescent="0.3"/>
    <row r="219" s="31" customFormat="1" x14ac:dyDescent="0.3"/>
    <row r="220" s="31" customFormat="1" x14ac:dyDescent="0.3"/>
    <row r="221" s="31" customFormat="1" x14ac:dyDescent="0.3"/>
    <row r="222" s="31" customFormat="1" x14ac:dyDescent="0.3"/>
    <row r="223" s="31" customFormat="1" x14ac:dyDescent="0.3"/>
    <row r="224" s="31" customFormat="1" x14ac:dyDescent="0.3"/>
    <row r="225" s="31" customFormat="1" x14ac:dyDescent="0.3"/>
    <row r="226" s="31" customFormat="1" x14ac:dyDescent="0.3"/>
    <row r="227" s="31" customFormat="1" x14ac:dyDescent="0.3"/>
    <row r="228" s="31" customFormat="1" x14ac:dyDescent="0.3"/>
    <row r="229" s="31" customFormat="1" x14ac:dyDescent="0.3"/>
    <row r="230" s="31" customFormat="1" x14ac:dyDescent="0.3"/>
    <row r="231" s="31" customFormat="1" x14ac:dyDescent="0.3"/>
    <row r="232" s="31" customFormat="1" x14ac:dyDescent="0.3"/>
    <row r="233" s="31" customFormat="1" x14ac:dyDescent="0.3"/>
    <row r="234" s="31" customFormat="1" x14ac:dyDescent="0.3"/>
    <row r="235" s="31" customFormat="1" x14ac:dyDescent="0.3"/>
    <row r="236" s="31" customFormat="1" x14ac:dyDescent="0.3"/>
    <row r="237" s="31" customFormat="1" x14ac:dyDescent="0.3"/>
    <row r="238" s="31" customFormat="1" x14ac:dyDescent="0.3"/>
    <row r="239" s="31" customFormat="1" x14ac:dyDescent="0.3"/>
    <row r="240" s="31" customFormat="1" x14ac:dyDescent="0.3"/>
    <row r="241" s="31" customFormat="1" x14ac:dyDescent="0.3"/>
    <row r="242" s="31" customFormat="1" x14ac:dyDescent="0.3"/>
    <row r="243" s="31" customFormat="1" x14ac:dyDescent="0.3"/>
    <row r="244" s="31" customFormat="1" x14ac:dyDescent="0.3"/>
    <row r="245" s="31" customFormat="1" x14ac:dyDescent="0.3"/>
    <row r="246" s="31" customFormat="1" x14ac:dyDescent="0.3"/>
    <row r="247" s="31" customFormat="1" x14ac:dyDescent="0.3"/>
    <row r="248" s="31" customFormat="1" x14ac:dyDescent="0.3"/>
    <row r="249" s="31" customFormat="1" x14ac:dyDescent="0.3"/>
    <row r="250" s="31" customFormat="1" x14ac:dyDescent="0.3"/>
    <row r="251" s="31" customFormat="1" x14ac:dyDescent="0.3"/>
    <row r="252" s="31" customFormat="1" x14ac:dyDescent="0.3"/>
    <row r="253" s="31" customFormat="1" x14ac:dyDescent="0.3"/>
    <row r="254" s="31" customFormat="1" x14ac:dyDescent="0.3"/>
    <row r="255" s="31" customFormat="1" x14ac:dyDescent="0.3"/>
    <row r="256" s="31" customFormat="1" x14ac:dyDescent="0.3"/>
    <row r="257" s="31" customFormat="1" x14ac:dyDescent="0.3"/>
    <row r="258" s="31" customFormat="1" x14ac:dyDescent="0.3"/>
    <row r="259" s="31" customFormat="1" x14ac:dyDescent="0.3"/>
    <row r="260" s="31" customFormat="1" x14ac:dyDescent="0.3"/>
    <row r="261" s="31" customFormat="1" x14ac:dyDescent="0.3"/>
    <row r="262" s="31" customFormat="1" x14ac:dyDescent="0.3"/>
    <row r="263" s="31" customFormat="1" x14ac:dyDescent="0.3"/>
    <row r="264" s="31" customFormat="1" x14ac:dyDescent="0.3"/>
    <row r="265" s="31" customFormat="1" x14ac:dyDescent="0.3"/>
    <row r="266" s="31" customFormat="1" x14ac:dyDescent="0.3"/>
    <row r="267" s="31" customFormat="1" x14ac:dyDescent="0.3"/>
    <row r="268" s="31" customFormat="1" x14ac:dyDescent="0.3"/>
    <row r="269" s="31" customFormat="1" x14ac:dyDescent="0.3"/>
    <row r="270" s="31" customFormat="1" x14ac:dyDescent="0.3"/>
    <row r="271" s="31" customFormat="1" x14ac:dyDescent="0.3"/>
    <row r="272" s="31" customFormat="1" x14ac:dyDescent="0.3"/>
    <row r="273" s="31" customFormat="1" x14ac:dyDescent="0.3"/>
    <row r="274" s="31" customFormat="1" x14ac:dyDescent="0.3"/>
    <row r="275" s="31" customFormat="1" x14ac:dyDescent="0.3"/>
    <row r="276" s="31" customFormat="1" x14ac:dyDescent="0.3"/>
    <row r="277" s="31" customFormat="1" x14ac:dyDescent="0.3"/>
    <row r="278" s="31" customFormat="1" x14ac:dyDescent="0.3"/>
    <row r="279" s="31" customFormat="1" x14ac:dyDescent="0.3"/>
    <row r="280" s="31" customFormat="1" x14ac:dyDescent="0.3"/>
    <row r="281" s="31" customFormat="1" x14ac:dyDescent="0.3"/>
    <row r="282" s="31" customFormat="1" x14ac:dyDescent="0.3"/>
    <row r="283" s="31" customFormat="1" x14ac:dyDescent="0.3"/>
    <row r="284" s="31" customFormat="1" x14ac:dyDescent="0.3"/>
    <row r="285" s="31" customFormat="1" x14ac:dyDescent="0.3"/>
    <row r="286" s="31" customFormat="1" x14ac:dyDescent="0.3"/>
    <row r="287" s="31" customFormat="1" x14ac:dyDescent="0.3"/>
    <row r="288" s="31" customFormat="1" x14ac:dyDescent="0.3"/>
    <row r="289" s="31" customFormat="1" x14ac:dyDescent="0.3"/>
    <row r="290" s="31" customFormat="1" x14ac:dyDescent="0.3"/>
    <row r="291" s="31" customFormat="1" x14ac:dyDescent="0.3"/>
  </sheetData>
  <autoFilter ref="A1:K23">
    <filterColumn colId="9">
      <filters>
        <filter val="Yes"/>
      </filters>
    </filterColumn>
  </autoFilter>
  <pageMargins left="0.75" right="0.75" top="1" bottom="1" header="0.5" footer="0.5"/>
  <customProperties>
    <customPr name="KSheetIndex" r:id="rId1"/>
  </customPropertie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G241"/>
  <sheetViews>
    <sheetView workbookViewId="0">
      <selection activeCell="A2" sqref="A2:L23"/>
    </sheetView>
  </sheetViews>
  <sheetFormatPr defaultColWidth="9.109375" defaultRowHeight="14.4" x14ac:dyDescent="0.3"/>
  <cols>
    <col min="1" max="10" width="9.109375" style="17"/>
    <col min="11" max="33" width="9.109375" style="31"/>
    <col min="34" max="16384" width="9.109375" style="17"/>
  </cols>
  <sheetData>
    <row r="1" spans="1:10" ht="15" thickBot="1" x14ac:dyDescent="0.35">
      <c r="A1" s="26" t="s">
        <v>3</v>
      </c>
      <c r="B1" s="26" t="s">
        <v>4</v>
      </c>
      <c r="C1" s="26" t="s">
        <v>5</v>
      </c>
      <c r="D1" s="26" t="s">
        <v>6</v>
      </c>
      <c r="E1" s="26" t="s">
        <v>7</v>
      </c>
      <c r="F1" s="26" t="s">
        <v>8</v>
      </c>
      <c r="G1" s="26" t="s">
        <v>99</v>
      </c>
      <c r="H1" s="26" t="s">
        <v>110</v>
      </c>
      <c r="I1" s="26" t="s">
        <v>9</v>
      </c>
      <c r="J1" s="26" t="s">
        <v>75</v>
      </c>
    </row>
    <row r="2" spans="1:10" ht="15" thickTop="1" x14ac:dyDescent="0.3">
      <c r="A2" s="21" t="s">
        <v>10</v>
      </c>
      <c r="B2" s="22" t="s">
        <v>10</v>
      </c>
      <c r="C2" s="22"/>
      <c r="D2" s="22" t="s">
        <v>11</v>
      </c>
      <c r="E2" s="22" t="s">
        <v>104</v>
      </c>
      <c r="F2" s="22" t="s">
        <v>115</v>
      </c>
      <c r="G2" s="22">
        <v>0</v>
      </c>
      <c r="H2" s="22" t="s">
        <v>105</v>
      </c>
      <c r="I2" s="22">
        <v>0</v>
      </c>
      <c r="J2" s="22" t="s">
        <v>76</v>
      </c>
    </row>
    <row r="3" spans="1:10" x14ac:dyDescent="0.3">
      <c r="A3" s="23" t="s">
        <v>10</v>
      </c>
      <c r="B3" s="24" t="s">
        <v>10</v>
      </c>
      <c r="C3" s="24"/>
      <c r="D3" s="24" t="s">
        <v>11</v>
      </c>
      <c r="E3" s="24" t="s">
        <v>102</v>
      </c>
      <c r="F3" s="24" t="s">
        <v>116</v>
      </c>
      <c r="G3" s="24">
        <v>0</v>
      </c>
      <c r="H3" s="24" t="s">
        <v>103</v>
      </c>
      <c r="I3" s="24">
        <v>0</v>
      </c>
      <c r="J3" s="24" t="s">
        <v>76</v>
      </c>
    </row>
    <row r="4" spans="1:10" x14ac:dyDescent="0.3">
      <c r="A4" s="23" t="s">
        <v>10</v>
      </c>
      <c r="B4" s="24" t="s">
        <v>10</v>
      </c>
      <c r="C4" s="24"/>
      <c r="D4" s="24" t="s">
        <v>11</v>
      </c>
      <c r="E4" s="24" t="s">
        <v>101</v>
      </c>
      <c r="F4" s="24" t="s">
        <v>117</v>
      </c>
      <c r="G4" s="24">
        <v>0</v>
      </c>
      <c r="H4" s="24" t="s">
        <v>118</v>
      </c>
      <c r="I4" s="24">
        <v>0</v>
      </c>
      <c r="J4" s="24" t="s">
        <v>76</v>
      </c>
    </row>
    <row r="5" spans="1:10" x14ac:dyDescent="0.3">
      <c r="A5" s="23" t="s">
        <v>10</v>
      </c>
      <c r="B5" s="24" t="s">
        <v>10</v>
      </c>
      <c r="C5" s="24"/>
      <c r="D5" s="24" t="s">
        <v>55</v>
      </c>
      <c r="E5" s="24" t="s">
        <v>56</v>
      </c>
      <c r="F5" s="24" t="s">
        <v>119</v>
      </c>
      <c r="G5" s="24">
        <v>0</v>
      </c>
      <c r="H5" s="24" t="s">
        <v>57</v>
      </c>
      <c r="I5" s="24">
        <v>0</v>
      </c>
      <c r="J5" s="24" t="s">
        <v>76</v>
      </c>
    </row>
    <row r="6" spans="1:10" x14ac:dyDescent="0.3">
      <c r="A6" s="23" t="s">
        <v>10</v>
      </c>
      <c r="B6" s="24" t="s">
        <v>10</v>
      </c>
      <c r="C6" s="24"/>
      <c r="D6" s="24" t="s">
        <v>53</v>
      </c>
      <c r="E6" s="24" t="s">
        <v>54</v>
      </c>
      <c r="F6" s="24" t="s">
        <v>120</v>
      </c>
      <c r="G6" s="24">
        <v>0</v>
      </c>
      <c r="H6" s="24" t="s">
        <v>52</v>
      </c>
      <c r="I6" s="24">
        <v>0</v>
      </c>
      <c r="J6" s="24" t="s">
        <v>76</v>
      </c>
    </row>
    <row r="7" spans="1:10" x14ac:dyDescent="0.3">
      <c r="A7" s="23" t="s">
        <v>10</v>
      </c>
      <c r="B7" s="24" t="s">
        <v>10</v>
      </c>
      <c r="C7" s="24"/>
      <c r="D7" s="24" t="s">
        <v>50</v>
      </c>
      <c r="E7" s="24" t="s">
        <v>51</v>
      </c>
      <c r="F7" s="24" t="s">
        <v>121</v>
      </c>
      <c r="G7" s="24">
        <v>0</v>
      </c>
      <c r="H7" s="24" t="s">
        <v>47</v>
      </c>
      <c r="I7" s="24">
        <v>0</v>
      </c>
      <c r="J7" s="24" t="s">
        <v>76</v>
      </c>
    </row>
    <row r="8" spans="1:10" x14ac:dyDescent="0.3">
      <c r="A8" s="23" t="s">
        <v>122</v>
      </c>
      <c r="B8" s="24" t="s">
        <v>123</v>
      </c>
      <c r="C8" s="24"/>
      <c r="D8" s="24" t="s">
        <v>35</v>
      </c>
      <c r="E8" s="24" t="s">
        <v>45</v>
      </c>
      <c r="F8" s="24" t="s">
        <v>46</v>
      </c>
      <c r="G8" s="24">
        <v>0</v>
      </c>
      <c r="H8" s="24" t="s">
        <v>47</v>
      </c>
      <c r="I8" s="24">
        <v>3</v>
      </c>
      <c r="J8" s="24" t="s">
        <v>76</v>
      </c>
    </row>
    <row r="9" spans="1:10" x14ac:dyDescent="0.3">
      <c r="A9" s="23" t="s">
        <v>122</v>
      </c>
      <c r="B9" s="24" t="s">
        <v>123</v>
      </c>
      <c r="C9" s="24"/>
      <c r="D9" s="24" t="s">
        <v>35</v>
      </c>
      <c r="E9" s="24" t="s">
        <v>43</v>
      </c>
      <c r="F9" s="24" t="s">
        <v>124</v>
      </c>
      <c r="G9" s="24">
        <v>0</v>
      </c>
      <c r="H9" s="24" t="s">
        <v>44</v>
      </c>
      <c r="I9" s="24">
        <v>1</v>
      </c>
      <c r="J9" s="24" t="s">
        <v>78</v>
      </c>
    </row>
    <row r="10" spans="1:10" x14ac:dyDescent="0.3">
      <c r="A10" s="23" t="s">
        <v>125</v>
      </c>
      <c r="B10" s="24" t="s">
        <v>126</v>
      </c>
      <c r="C10" s="24"/>
      <c r="D10" s="24" t="s">
        <v>35</v>
      </c>
      <c r="E10" s="24" t="s">
        <v>41</v>
      </c>
      <c r="F10" s="24" t="s">
        <v>127</v>
      </c>
      <c r="G10" s="24">
        <v>0</v>
      </c>
      <c r="H10" s="24" t="s">
        <v>42</v>
      </c>
      <c r="I10" s="24">
        <v>0</v>
      </c>
      <c r="J10" s="24" t="s">
        <v>78</v>
      </c>
    </row>
    <row r="11" spans="1:10" x14ac:dyDescent="0.3">
      <c r="A11" s="23" t="s">
        <v>125</v>
      </c>
      <c r="B11" s="24" t="s">
        <v>10</v>
      </c>
      <c r="C11" s="24"/>
      <c r="D11" s="24" t="s">
        <v>35</v>
      </c>
      <c r="E11" s="24" t="s">
        <v>37</v>
      </c>
      <c r="F11" s="24" t="s">
        <v>128</v>
      </c>
      <c r="G11" s="24">
        <v>0</v>
      </c>
      <c r="H11" s="24" t="s">
        <v>38</v>
      </c>
      <c r="I11" s="24">
        <v>0</v>
      </c>
      <c r="J11" s="24" t="s">
        <v>77</v>
      </c>
    </row>
    <row r="12" spans="1:10" x14ac:dyDescent="0.3">
      <c r="A12" s="23" t="s">
        <v>129</v>
      </c>
      <c r="B12" s="24" t="s">
        <v>130</v>
      </c>
      <c r="C12" s="24"/>
      <c r="D12" s="24" t="s">
        <v>35</v>
      </c>
      <c r="E12" s="24" t="s">
        <v>36</v>
      </c>
      <c r="F12" s="24" t="s">
        <v>131</v>
      </c>
      <c r="G12" s="24">
        <v>0</v>
      </c>
      <c r="H12" s="24" t="s">
        <v>132</v>
      </c>
      <c r="I12" s="24">
        <v>0</v>
      </c>
      <c r="J12" s="24" t="s">
        <v>76</v>
      </c>
    </row>
    <row r="13" spans="1:10" x14ac:dyDescent="0.3">
      <c r="A13" s="23" t="s">
        <v>129</v>
      </c>
      <c r="B13" s="24" t="s">
        <v>10</v>
      </c>
      <c r="C13" s="24"/>
      <c r="D13" s="24" t="s">
        <v>17</v>
      </c>
      <c r="E13" s="24" t="s">
        <v>33</v>
      </c>
      <c r="F13" s="24" t="s">
        <v>133</v>
      </c>
      <c r="G13" s="24">
        <v>0</v>
      </c>
      <c r="H13" s="24" t="s">
        <v>34</v>
      </c>
      <c r="I13" s="24">
        <v>1</v>
      </c>
      <c r="J13" s="24" t="s">
        <v>76</v>
      </c>
    </row>
    <row r="14" spans="1:10" x14ac:dyDescent="0.3">
      <c r="A14" s="23" t="s">
        <v>129</v>
      </c>
      <c r="B14" s="24" t="s">
        <v>10</v>
      </c>
      <c r="C14" s="24"/>
      <c r="D14" s="24" t="s">
        <v>17</v>
      </c>
      <c r="E14" s="24" t="s">
        <v>31</v>
      </c>
      <c r="F14" s="24" t="s">
        <v>134</v>
      </c>
      <c r="G14" s="24">
        <v>2</v>
      </c>
      <c r="H14" s="24" t="s">
        <v>32</v>
      </c>
      <c r="I14" s="24">
        <v>0</v>
      </c>
      <c r="J14" s="24" t="s">
        <v>76</v>
      </c>
    </row>
    <row r="15" spans="1:10" x14ac:dyDescent="0.3">
      <c r="A15" s="23" t="s">
        <v>129</v>
      </c>
      <c r="B15" s="24" t="s">
        <v>10</v>
      </c>
      <c r="C15" s="24"/>
      <c r="D15" s="24" t="s">
        <v>17</v>
      </c>
      <c r="E15" s="24" t="s">
        <v>29</v>
      </c>
      <c r="F15" s="24" t="s">
        <v>135</v>
      </c>
      <c r="G15" s="24">
        <v>0</v>
      </c>
      <c r="H15" s="24" t="s">
        <v>30</v>
      </c>
      <c r="I15" s="24">
        <v>0</v>
      </c>
      <c r="J15" s="24" t="s">
        <v>77</v>
      </c>
    </row>
    <row r="16" spans="1:10" x14ac:dyDescent="0.3">
      <c r="A16" s="23" t="s">
        <v>136</v>
      </c>
      <c r="B16" s="24" t="s">
        <v>137</v>
      </c>
      <c r="C16" s="24"/>
      <c r="D16" s="24" t="s">
        <v>21</v>
      </c>
      <c r="E16" s="24" t="s">
        <v>27</v>
      </c>
      <c r="F16" s="24" t="s">
        <v>138</v>
      </c>
      <c r="G16" s="24">
        <v>0</v>
      </c>
      <c r="H16" s="24" t="s">
        <v>28</v>
      </c>
      <c r="I16" s="24">
        <v>0</v>
      </c>
      <c r="J16" s="24" t="s">
        <v>76</v>
      </c>
    </row>
    <row r="17" spans="1:10" x14ac:dyDescent="0.3">
      <c r="A17" s="23" t="s">
        <v>136</v>
      </c>
      <c r="B17" s="24" t="s">
        <v>10</v>
      </c>
      <c r="C17" s="24"/>
      <c r="D17" s="24" t="s">
        <v>21</v>
      </c>
      <c r="E17" s="24" t="s">
        <v>25</v>
      </c>
      <c r="F17" s="24" t="s">
        <v>139</v>
      </c>
      <c r="G17" s="24">
        <v>0</v>
      </c>
      <c r="H17" s="24" t="s">
        <v>26</v>
      </c>
      <c r="I17" s="24">
        <v>0</v>
      </c>
      <c r="J17" s="24" t="s">
        <v>76</v>
      </c>
    </row>
    <row r="18" spans="1:10" x14ac:dyDescent="0.3">
      <c r="A18" s="23" t="s">
        <v>136</v>
      </c>
      <c r="B18" s="24" t="s">
        <v>10</v>
      </c>
      <c r="C18" s="24"/>
      <c r="D18" s="24" t="s">
        <v>21</v>
      </c>
      <c r="E18" s="24" t="s">
        <v>23</v>
      </c>
      <c r="F18" s="24" t="s">
        <v>140</v>
      </c>
      <c r="G18" s="24">
        <v>2</v>
      </c>
      <c r="H18" s="24" t="s">
        <v>24</v>
      </c>
      <c r="I18" s="24">
        <v>1</v>
      </c>
      <c r="J18" s="24" t="s">
        <v>76</v>
      </c>
    </row>
    <row r="19" spans="1:10" x14ac:dyDescent="0.3">
      <c r="A19" s="23" t="s">
        <v>136</v>
      </c>
      <c r="B19" s="24" t="s">
        <v>10</v>
      </c>
      <c r="C19" s="24"/>
      <c r="D19" s="24" t="s">
        <v>21</v>
      </c>
      <c r="E19" s="24" t="s">
        <v>22</v>
      </c>
      <c r="F19" s="24" t="s">
        <v>141</v>
      </c>
      <c r="G19" s="24">
        <v>2</v>
      </c>
      <c r="H19" s="24" t="s">
        <v>142</v>
      </c>
      <c r="I19" s="24">
        <v>1</v>
      </c>
      <c r="J19" s="24" t="s">
        <v>76</v>
      </c>
    </row>
    <row r="20" spans="1:10" x14ac:dyDescent="0.3">
      <c r="A20" s="23" t="s">
        <v>136</v>
      </c>
      <c r="B20" s="24" t="s">
        <v>10</v>
      </c>
      <c r="C20" s="24"/>
      <c r="D20" s="24" t="s">
        <v>14</v>
      </c>
      <c r="E20" s="24" t="s">
        <v>19</v>
      </c>
      <c r="F20" s="24" t="s">
        <v>143</v>
      </c>
      <c r="G20" s="24">
        <v>0</v>
      </c>
      <c r="H20" s="24" t="s">
        <v>20</v>
      </c>
      <c r="I20" s="24">
        <v>1</v>
      </c>
      <c r="J20" s="24" t="s">
        <v>76</v>
      </c>
    </row>
    <row r="21" spans="1:10" x14ac:dyDescent="0.3">
      <c r="A21" s="23" t="s">
        <v>136</v>
      </c>
      <c r="B21" s="24" t="s">
        <v>10</v>
      </c>
      <c r="C21" s="24"/>
      <c r="D21" s="24" t="s">
        <v>17</v>
      </c>
      <c r="E21" s="24" t="s">
        <v>18</v>
      </c>
      <c r="F21" s="24" t="s">
        <v>144</v>
      </c>
      <c r="G21" s="24">
        <v>0</v>
      </c>
      <c r="H21" s="24" t="s">
        <v>145</v>
      </c>
      <c r="I21" s="24">
        <v>0</v>
      </c>
      <c r="J21" s="24" t="s">
        <v>77</v>
      </c>
    </row>
    <row r="22" spans="1:10" x14ac:dyDescent="0.3">
      <c r="A22" s="23" t="s">
        <v>136</v>
      </c>
      <c r="B22" s="24" t="s">
        <v>12</v>
      </c>
      <c r="C22" s="24"/>
      <c r="D22" s="24" t="s">
        <v>14</v>
      </c>
      <c r="E22" s="24" t="s">
        <v>15</v>
      </c>
      <c r="F22" s="24" t="s">
        <v>146</v>
      </c>
      <c r="G22" s="24">
        <v>0</v>
      </c>
      <c r="H22" s="24" t="s">
        <v>16</v>
      </c>
      <c r="I22" s="24">
        <v>0</v>
      </c>
      <c r="J22" s="24" t="s">
        <v>76</v>
      </c>
    </row>
    <row r="23" spans="1:10" x14ac:dyDescent="0.3">
      <c r="A23" s="23" t="s">
        <v>136</v>
      </c>
      <c r="B23" s="24" t="s">
        <v>10</v>
      </c>
      <c r="C23" s="24"/>
      <c r="D23" s="24" t="s">
        <v>12</v>
      </c>
      <c r="E23" s="24" t="s">
        <v>13</v>
      </c>
      <c r="F23" s="24" t="s">
        <v>147</v>
      </c>
      <c r="G23" s="24">
        <v>0</v>
      </c>
      <c r="H23" s="24" t="s">
        <v>148</v>
      </c>
      <c r="I23" s="24">
        <v>1</v>
      </c>
      <c r="J23" s="24" t="s">
        <v>76</v>
      </c>
    </row>
    <row r="24" spans="1:10" x14ac:dyDescent="0.3">
      <c r="A24" s="23"/>
      <c r="B24" s="24"/>
      <c r="C24" s="24"/>
      <c r="D24" s="24"/>
      <c r="E24" s="24"/>
      <c r="F24" s="24"/>
      <c r="G24" s="24"/>
      <c r="H24" s="24"/>
      <c r="I24" s="24"/>
      <c r="J24" s="24"/>
    </row>
    <row r="25" spans="1:10" x14ac:dyDescent="0.3">
      <c r="A25" s="23"/>
      <c r="B25" s="24"/>
      <c r="C25" s="24"/>
      <c r="D25" s="24"/>
      <c r="E25" s="24"/>
      <c r="F25" s="24"/>
      <c r="G25" s="24"/>
      <c r="H25" s="24"/>
      <c r="I25" s="24"/>
      <c r="J25" s="24"/>
    </row>
    <row r="26" spans="1:10" x14ac:dyDescent="0.3">
      <c r="A26" s="23"/>
      <c r="B26" s="24"/>
      <c r="C26" s="24"/>
      <c r="D26" s="24"/>
      <c r="E26" s="24"/>
      <c r="F26" s="24"/>
      <c r="G26" s="24"/>
      <c r="H26" s="24"/>
      <c r="I26" s="24"/>
      <c r="J26" s="24"/>
    </row>
    <row r="27" spans="1:10" x14ac:dyDescent="0.3">
      <c r="A27" s="23"/>
      <c r="B27" s="24"/>
      <c r="C27" s="24"/>
      <c r="D27" s="24"/>
      <c r="E27" s="24"/>
      <c r="F27" s="24"/>
      <c r="G27" s="24"/>
      <c r="H27" s="24"/>
      <c r="I27" s="24"/>
      <c r="J27" s="24"/>
    </row>
    <row r="28" spans="1:10" x14ac:dyDescent="0.3">
      <c r="A28" s="23"/>
      <c r="B28" s="24"/>
      <c r="C28" s="24"/>
      <c r="D28" s="24"/>
      <c r="E28" s="24"/>
      <c r="F28" s="24"/>
      <c r="G28" s="24"/>
      <c r="H28" s="24"/>
      <c r="I28" s="24"/>
      <c r="J28" s="24"/>
    </row>
    <row r="29" spans="1:10" x14ac:dyDescent="0.3">
      <c r="A29" s="23"/>
      <c r="B29" s="24"/>
      <c r="C29" s="24"/>
      <c r="D29" s="24"/>
      <c r="E29" s="24"/>
      <c r="F29" s="24"/>
      <c r="G29" s="24"/>
      <c r="H29" s="24"/>
      <c r="I29" s="24"/>
      <c r="J29" s="24"/>
    </row>
    <row r="30" spans="1:10" x14ac:dyDescent="0.3">
      <c r="A30" s="23"/>
      <c r="B30" s="24"/>
      <c r="C30" s="24"/>
      <c r="D30" s="24"/>
      <c r="E30" s="24"/>
      <c r="F30" s="24"/>
      <c r="G30" s="24"/>
      <c r="H30" s="24"/>
      <c r="I30" s="24"/>
      <c r="J30" s="24"/>
    </row>
    <row r="31" spans="1:10" x14ac:dyDescent="0.3">
      <c r="A31" s="23"/>
      <c r="B31" s="24"/>
      <c r="C31" s="24"/>
      <c r="D31" s="24"/>
      <c r="E31" s="24"/>
      <c r="F31" s="24"/>
      <c r="G31" s="24"/>
      <c r="H31" s="24"/>
      <c r="I31" s="24"/>
      <c r="J31" s="24"/>
    </row>
    <row r="32" spans="1:10" x14ac:dyDescent="0.3">
      <c r="A32" s="23"/>
      <c r="B32" s="24"/>
      <c r="C32" s="24"/>
      <c r="D32" s="24"/>
      <c r="E32" s="24"/>
      <c r="F32" s="24"/>
      <c r="G32" s="24"/>
      <c r="H32" s="24"/>
      <c r="I32" s="24"/>
      <c r="J32" s="24"/>
    </row>
    <row r="33" spans="1:10" x14ac:dyDescent="0.3">
      <c r="A33" s="23"/>
      <c r="B33" s="24"/>
      <c r="C33" s="24"/>
      <c r="D33" s="24"/>
      <c r="E33" s="24"/>
      <c r="F33" s="24"/>
      <c r="G33" s="24"/>
      <c r="H33" s="24"/>
      <c r="I33" s="24"/>
      <c r="J33" s="24"/>
    </row>
    <row r="34" spans="1:10" x14ac:dyDescent="0.3">
      <c r="A34" s="23"/>
      <c r="B34" s="24"/>
      <c r="C34" s="24"/>
      <c r="D34" s="24"/>
      <c r="E34" s="24"/>
      <c r="F34" s="24"/>
      <c r="G34" s="24"/>
      <c r="H34" s="24"/>
      <c r="I34" s="24"/>
      <c r="J34" s="24"/>
    </row>
    <row r="35" spans="1:10" x14ac:dyDescent="0.3">
      <c r="A35" s="23"/>
      <c r="B35" s="24"/>
      <c r="C35" s="24"/>
      <c r="D35" s="24"/>
      <c r="E35" s="24"/>
      <c r="F35" s="24"/>
      <c r="G35" s="24"/>
      <c r="H35" s="24"/>
      <c r="I35" s="24"/>
      <c r="J35" s="24"/>
    </row>
    <row r="36" spans="1:10" x14ac:dyDescent="0.3">
      <c r="A36" s="23"/>
      <c r="B36" s="24"/>
      <c r="C36" s="24"/>
      <c r="D36" s="24"/>
      <c r="E36" s="24"/>
      <c r="F36" s="24"/>
      <c r="G36" s="24"/>
      <c r="H36" s="24"/>
      <c r="I36" s="24"/>
      <c r="J36" s="24"/>
    </row>
    <row r="37" spans="1:10" x14ac:dyDescent="0.3">
      <c r="A37" s="23"/>
      <c r="B37" s="24"/>
      <c r="C37" s="24"/>
      <c r="D37" s="24"/>
      <c r="E37" s="24"/>
      <c r="F37" s="24"/>
      <c r="G37" s="24"/>
      <c r="H37" s="24"/>
      <c r="I37" s="24"/>
      <c r="J37" s="24"/>
    </row>
    <row r="38" spans="1:10" x14ac:dyDescent="0.3">
      <c r="A38" s="23"/>
      <c r="B38" s="24"/>
      <c r="C38" s="24"/>
      <c r="D38" s="24"/>
      <c r="E38" s="24"/>
      <c r="F38" s="24"/>
      <c r="G38" s="24"/>
      <c r="H38" s="24"/>
      <c r="I38" s="24"/>
      <c r="J38" s="24"/>
    </row>
    <row r="39" spans="1:10" x14ac:dyDescent="0.3">
      <c r="A39" s="23"/>
      <c r="B39" s="24"/>
      <c r="C39" s="24"/>
      <c r="D39" s="24"/>
      <c r="E39" s="24"/>
      <c r="F39" s="24"/>
      <c r="G39" s="24"/>
      <c r="H39" s="24"/>
      <c r="I39" s="24"/>
      <c r="J39" s="24"/>
    </row>
    <row r="40" spans="1:10" x14ac:dyDescent="0.3">
      <c r="A40" s="23"/>
      <c r="B40" s="24"/>
      <c r="C40" s="24"/>
      <c r="D40" s="24"/>
      <c r="E40" s="24"/>
      <c r="F40" s="24"/>
      <c r="G40" s="24"/>
      <c r="H40" s="24"/>
      <c r="I40" s="24"/>
      <c r="J40" s="24"/>
    </row>
    <row r="41" spans="1:10" x14ac:dyDescent="0.3">
      <c r="A41" s="23"/>
      <c r="B41" s="24"/>
      <c r="C41" s="24"/>
      <c r="D41" s="24"/>
      <c r="E41" s="24"/>
      <c r="F41" s="24"/>
      <c r="G41" s="24"/>
      <c r="H41" s="24"/>
      <c r="I41" s="24"/>
      <c r="J41" s="24"/>
    </row>
    <row r="42" spans="1:10" x14ac:dyDescent="0.3">
      <c r="A42" s="23"/>
      <c r="B42" s="24"/>
      <c r="C42" s="24"/>
      <c r="D42" s="24"/>
      <c r="E42" s="24"/>
      <c r="F42" s="24"/>
      <c r="G42" s="24"/>
      <c r="H42" s="24"/>
      <c r="I42" s="24"/>
      <c r="J42" s="24"/>
    </row>
    <row r="43" spans="1:10" x14ac:dyDescent="0.3">
      <c r="A43" s="23"/>
      <c r="B43" s="24"/>
      <c r="C43" s="24"/>
      <c r="D43" s="24"/>
      <c r="E43" s="24"/>
      <c r="F43" s="24"/>
      <c r="G43" s="24"/>
      <c r="H43" s="24"/>
      <c r="I43" s="24"/>
      <c r="J43" s="24"/>
    </row>
    <row r="44" spans="1:10" x14ac:dyDescent="0.3">
      <c r="A44" s="23"/>
      <c r="B44" s="24"/>
      <c r="C44" s="24"/>
      <c r="D44" s="24"/>
      <c r="E44" s="24"/>
      <c r="F44" s="24"/>
      <c r="G44" s="24"/>
      <c r="H44" s="24"/>
      <c r="I44" s="24"/>
      <c r="J44" s="24"/>
    </row>
    <row r="45" spans="1:10" x14ac:dyDescent="0.3">
      <c r="A45" s="23"/>
      <c r="B45" s="24"/>
      <c r="C45" s="24"/>
      <c r="D45" s="24"/>
      <c r="E45" s="24"/>
      <c r="F45" s="24"/>
      <c r="G45" s="24"/>
      <c r="H45" s="24"/>
      <c r="I45" s="24"/>
      <c r="J45" s="24"/>
    </row>
    <row r="46" spans="1:10" x14ac:dyDescent="0.3">
      <c r="A46" s="23"/>
      <c r="B46" s="24"/>
      <c r="C46" s="24"/>
      <c r="D46" s="24"/>
      <c r="E46" s="24"/>
      <c r="F46" s="24"/>
      <c r="G46" s="24"/>
      <c r="H46" s="24"/>
      <c r="I46" s="24"/>
      <c r="J46" s="24"/>
    </row>
    <row r="47" spans="1:10" x14ac:dyDescent="0.3">
      <c r="A47" s="23"/>
      <c r="B47" s="24"/>
      <c r="C47" s="24"/>
      <c r="D47" s="24"/>
      <c r="E47" s="24"/>
      <c r="F47" s="24"/>
      <c r="G47" s="24"/>
      <c r="H47" s="24"/>
      <c r="I47" s="24"/>
      <c r="J47" s="24"/>
    </row>
    <row r="48" spans="1:10" x14ac:dyDescent="0.3">
      <c r="A48" s="23"/>
      <c r="B48" s="24"/>
      <c r="C48" s="24"/>
      <c r="D48" s="24"/>
      <c r="E48" s="24"/>
      <c r="F48" s="24"/>
      <c r="G48" s="24"/>
      <c r="H48" s="24"/>
      <c r="I48" s="24"/>
      <c r="J48" s="24"/>
    </row>
    <row r="49" spans="1:10" x14ac:dyDescent="0.3">
      <c r="A49" s="23"/>
      <c r="B49" s="24"/>
      <c r="C49" s="24"/>
      <c r="D49" s="24"/>
      <c r="E49" s="24"/>
      <c r="F49" s="24"/>
      <c r="G49" s="24"/>
      <c r="H49" s="24"/>
      <c r="I49" s="24"/>
      <c r="J49" s="24"/>
    </row>
    <row r="50" spans="1:10" x14ac:dyDescent="0.3">
      <c r="A50" s="23"/>
      <c r="B50" s="24"/>
      <c r="C50" s="24"/>
      <c r="D50" s="24"/>
      <c r="E50" s="24"/>
      <c r="F50" s="24"/>
      <c r="G50" s="24"/>
      <c r="H50" s="24"/>
      <c r="I50" s="24"/>
      <c r="J50" s="24"/>
    </row>
    <row r="51" spans="1:10" x14ac:dyDescent="0.3">
      <c r="A51" s="23"/>
      <c r="B51" s="24"/>
      <c r="C51" s="24"/>
      <c r="D51" s="24"/>
      <c r="E51" s="24"/>
      <c r="F51" s="24"/>
      <c r="G51" s="24"/>
      <c r="H51" s="24"/>
      <c r="I51" s="24"/>
      <c r="J51" s="24"/>
    </row>
    <row r="52" spans="1:10" x14ac:dyDescent="0.3">
      <c r="A52" s="23"/>
      <c r="B52" s="24"/>
      <c r="C52" s="24"/>
      <c r="D52" s="24"/>
      <c r="E52" s="24"/>
      <c r="F52" s="24"/>
      <c r="G52" s="24"/>
      <c r="H52" s="24"/>
      <c r="I52" s="24"/>
      <c r="J52" s="24"/>
    </row>
    <row r="53" spans="1:10" x14ac:dyDescent="0.3">
      <c r="A53" s="23"/>
      <c r="B53" s="24"/>
      <c r="C53" s="24"/>
      <c r="D53" s="24"/>
      <c r="E53" s="24"/>
      <c r="F53" s="24"/>
      <c r="G53" s="24"/>
      <c r="H53" s="24"/>
      <c r="I53" s="24"/>
      <c r="J53" s="24"/>
    </row>
    <row r="54" spans="1:10" x14ac:dyDescent="0.3">
      <c r="A54" s="23"/>
      <c r="B54" s="24"/>
      <c r="C54" s="24"/>
      <c r="D54" s="24"/>
      <c r="E54" s="24"/>
      <c r="F54" s="24"/>
      <c r="G54" s="24"/>
      <c r="H54" s="24"/>
      <c r="I54" s="24"/>
      <c r="J54" s="24"/>
    </row>
    <row r="55" spans="1:10" x14ac:dyDescent="0.3">
      <c r="A55" s="23"/>
      <c r="B55" s="24"/>
      <c r="C55" s="24"/>
      <c r="D55" s="24"/>
      <c r="E55" s="24"/>
      <c r="F55" s="24"/>
      <c r="G55" s="24"/>
      <c r="H55" s="24"/>
      <c r="I55" s="24"/>
      <c r="J55" s="24"/>
    </row>
    <row r="56" spans="1:10" x14ac:dyDescent="0.3">
      <c r="A56" s="23"/>
      <c r="B56" s="24"/>
      <c r="C56" s="24"/>
      <c r="D56" s="24"/>
      <c r="E56" s="24"/>
      <c r="F56" s="24"/>
      <c r="G56" s="24"/>
      <c r="H56" s="24"/>
      <c r="I56" s="24"/>
      <c r="J56" s="24"/>
    </row>
    <row r="57" spans="1:10" x14ac:dyDescent="0.3">
      <c r="A57" s="23"/>
      <c r="B57" s="24"/>
      <c r="C57" s="24"/>
      <c r="D57" s="24"/>
      <c r="E57" s="24"/>
      <c r="F57" s="24"/>
      <c r="G57" s="24"/>
      <c r="H57" s="24"/>
      <c r="I57" s="24"/>
      <c r="J57" s="24"/>
    </row>
    <row r="58" spans="1:10" x14ac:dyDescent="0.3">
      <c r="A58" s="23"/>
      <c r="B58" s="24"/>
      <c r="C58" s="24"/>
      <c r="D58" s="24"/>
      <c r="E58" s="24"/>
      <c r="F58" s="24"/>
      <c r="G58" s="24"/>
      <c r="H58" s="24"/>
      <c r="I58" s="24"/>
      <c r="J58" s="24"/>
    </row>
    <row r="59" spans="1:10" x14ac:dyDescent="0.3">
      <c r="A59" s="23"/>
      <c r="B59" s="24"/>
      <c r="C59" s="24"/>
      <c r="D59" s="24"/>
      <c r="E59" s="24"/>
      <c r="F59" s="24"/>
      <c r="G59" s="24"/>
      <c r="H59" s="24"/>
      <c r="I59" s="24"/>
      <c r="J59" s="24"/>
    </row>
    <row r="60" spans="1:10" x14ac:dyDescent="0.3">
      <c r="A60" s="23"/>
      <c r="B60" s="24"/>
      <c r="C60" s="24"/>
      <c r="D60" s="24"/>
      <c r="E60" s="24"/>
      <c r="F60" s="24"/>
      <c r="G60" s="24"/>
      <c r="H60" s="24"/>
      <c r="I60" s="24"/>
      <c r="J60" s="24"/>
    </row>
    <row r="61" spans="1:10" x14ac:dyDescent="0.3">
      <c r="A61" s="23"/>
      <c r="B61" s="24"/>
      <c r="C61" s="24"/>
      <c r="D61" s="24"/>
      <c r="E61" s="24"/>
      <c r="F61" s="24"/>
      <c r="G61" s="24"/>
      <c r="H61" s="24"/>
      <c r="I61" s="24"/>
      <c r="J61" s="24"/>
    </row>
    <row r="62" spans="1:10" x14ac:dyDescent="0.3">
      <c r="A62" s="23"/>
      <c r="B62" s="24"/>
      <c r="C62" s="24"/>
      <c r="D62" s="24"/>
      <c r="E62" s="24"/>
      <c r="F62" s="24"/>
      <c r="G62" s="24"/>
      <c r="H62" s="24"/>
      <c r="I62" s="24"/>
      <c r="J62" s="24"/>
    </row>
    <row r="63" spans="1:10" x14ac:dyDescent="0.3">
      <c r="A63" s="23"/>
      <c r="B63" s="24"/>
      <c r="C63" s="24"/>
      <c r="D63" s="24"/>
      <c r="E63" s="24"/>
      <c r="F63" s="24"/>
      <c r="G63" s="24"/>
      <c r="H63" s="24"/>
      <c r="I63" s="24"/>
      <c r="J63" s="24"/>
    </row>
    <row r="64" spans="1:10" x14ac:dyDescent="0.3">
      <c r="A64" s="23"/>
      <c r="B64" s="24"/>
      <c r="C64" s="24"/>
      <c r="D64" s="24"/>
      <c r="E64" s="24"/>
      <c r="F64" s="24"/>
      <c r="G64" s="24"/>
      <c r="H64" s="24"/>
      <c r="I64" s="24"/>
      <c r="J64" s="24"/>
    </row>
    <row r="65" spans="1:10" x14ac:dyDescent="0.3">
      <c r="A65" s="23"/>
      <c r="B65" s="24"/>
      <c r="C65" s="24"/>
      <c r="D65" s="24"/>
      <c r="E65" s="24"/>
      <c r="F65" s="24"/>
      <c r="G65" s="24"/>
      <c r="H65" s="24"/>
      <c r="I65" s="24"/>
      <c r="J65" s="24"/>
    </row>
    <row r="66" spans="1:10" x14ac:dyDescent="0.3">
      <c r="A66" s="23"/>
      <c r="B66" s="24"/>
      <c r="C66" s="24"/>
      <c r="D66" s="24"/>
      <c r="E66" s="24"/>
      <c r="F66" s="24"/>
      <c r="G66" s="24"/>
      <c r="H66" s="24"/>
      <c r="I66" s="24"/>
      <c r="J66" s="24"/>
    </row>
    <row r="67" spans="1:10" x14ac:dyDescent="0.3">
      <c r="A67" s="23"/>
      <c r="B67" s="24"/>
      <c r="C67" s="24"/>
      <c r="D67" s="24"/>
      <c r="E67" s="24"/>
      <c r="F67" s="24"/>
      <c r="G67" s="24"/>
      <c r="H67" s="24"/>
      <c r="I67" s="24"/>
      <c r="J67" s="24"/>
    </row>
    <row r="68" spans="1:10" x14ac:dyDescent="0.3">
      <c r="A68" s="23"/>
      <c r="B68" s="24"/>
      <c r="C68" s="24"/>
      <c r="D68" s="24"/>
      <c r="E68" s="24"/>
      <c r="F68" s="24"/>
      <c r="G68" s="24"/>
      <c r="H68" s="24"/>
      <c r="I68" s="24"/>
      <c r="J68" s="24"/>
    </row>
    <row r="69" spans="1:10" x14ac:dyDescent="0.3">
      <c r="A69" s="23"/>
      <c r="B69" s="24"/>
      <c r="C69" s="24"/>
      <c r="D69" s="24"/>
      <c r="E69" s="24"/>
      <c r="F69" s="24"/>
      <c r="G69" s="24"/>
      <c r="H69" s="24"/>
      <c r="I69" s="24"/>
      <c r="J69" s="24"/>
    </row>
    <row r="70" spans="1:10" x14ac:dyDescent="0.3">
      <c r="A70" s="23"/>
      <c r="B70" s="24"/>
      <c r="C70" s="24"/>
      <c r="D70" s="24"/>
      <c r="E70" s="24"/>
      <c r="F70" s="24"/>
      <c r="G70" s="24"/>
      <c r="H70" s="24"/>
      <c r="I70" s="24"/>
      <c r="J70" s="24"/>
    </row>
    <row r="71" spans="1:10" x14ac:dyDescent="0.3">
      <c r="A71" s="23"/>
      <c r="B71" s="24"/>
      <c r="C71" s="24"/>
      <c r="D71" s="24"/>
      <c r="E71" s="24"/>
      <c r="F71" s="24"/>
      <c r="G71" s="24"/>
      <c r="H71" s="24"/>
      <c r="I71" s="24"/>
      <c r="J71" s="24"/>
    </row>
    <row r="72" spans="1:10" x14ac:dyDescent="0.3">
      <c r="A72" s="23"/>
      <c r="B72" s="24"/>
      <c r="C72" s="24"/>
      <c r="D72" s="24"/>
      <c r="E72" s="24"/>
      <c r="F72" s="24"/>
      <c r="G72" s="24"/>
      <c r="H72" s="24"/>
      <c r="I72" s="24"/>
      <c r="J72" s="24"/>
    </row>
    <row r="73" spans="1:10" x14ac:dyDescent="0.3">
      <c r="A73" s="23"/>
      <c r="B73" s="24"/>
      <c r="C73" s="24"/>
      <c r="D73" s="24"/>
      <c r="E73" s="24"/>
      <c r="F73" s="24"/>
      <c r="G73" s="24"/>
      <c r="H73" s="24"/>
      <c r="I73" s="24"/>
      <c r="J73" s="24"/>
    </row>
    <row r="74" spans="1:10" s="31" customFormat="1" x14ac:dyDescent="0.3"/>
    <row r="75" spans="1:10" s="31" customFormat="1" x14ac:dyDescent="0.3"/>
    <row r="76" spans="1:10" s="31" customFormat="1" x14ac:dyDescent="0.3"/>
    <row r="77" spans="1:10" s="31" customFormat="1" x14ac:dyDescent="0.3"/>
    <row r="78" spans="1:10" s="31" customFormat="1" x14ac:dyDescent="0.3"/>
    <row r="79" spans="1:10" s="31" customFormat="1" x14ac:dyDescent="0.3"/>
    <row r="80" spans="1:10" s="31" customFormat="1" x14ac:dyDescent="0.3"/>
    <row r="81" s="31" customFormat="1" x14ac:dyDescent="0.3"/>
    <row r="82" s="31" customFormat="1" x14ac:dyDescent="0.3"/>
    <row r="83" s="31" customFormat="1" x14ac:dyDescent="0.3"/>
    <row r="84" s="31" customFormat="1" x14ac:dyDescent="0.3"/>
    <row r="85" s="31" customFormat="1" x14ac:dyDescent="0.3"/>
    <row r="86" s="31" customFormat="1" x14ac:dyDescent="0.3"/>
    <row r="87" s="31" customFormat="1" x14ac:dyDescent="0.3"/>
    <row r="88" s="31" customFormat="1" x14ac:dyDescent="0.3"/>
    <row r="89" s="31" customFormat="1" x14ac:dyDescent="0.3"/>
    <row r="90" s="31" customFormat="1" x14ac:dyDescent="0.3"/>
    <row r="91" s="31" customFormat="1" x14ac:dyDescent="0.3"/>
    <row r="92" s="31" customFormat="1" x14ac:dyDescent="0.3"/>
    <row r="93" s="31" customFormat="1" x14ac:dyDescent="0.3"/>
    <row r="94" s="31" customFormat="1" x14ac:dyDescent="0.3"/>
    <row r="95" s="31" customFormat="1" x14ac:dyDescent="0.3"/>
    <row r="96" s="31" customFormat="1" x14ac:dyDescent="0.3"/>
    <row r="97" s="31" customFormat="1" x14ac:dyDescent="0.3"/>
    <row r="98" s="31" customFormat="1" x14ac:dyDescent="0.3"/>
    <row r="99" s="31" customFormat="1" x14ac:dyDescent="0.3"/>
    <row r="100" s="31" customFormat="1" x14ac:dyDescent="0.3"/>
    <row r="101" s="31" customFormat="1" x14ac:dyDescent="0.3"/>
    <row r="102" s="31" customFormat="1" x14ac:dyDescent="0.3"/>
    <row r="103" s="31" customFormat="1" x14ac:dyDescent="0.3"/>
    <row r="104" s="31" customFormat="1" x14ac:dyDescent="0.3"/>
    <row r="105" s="31" customFormat="1" x14ac:dyDescent="0.3"/>
    <row r="106" s="31" customFormat="1" x14ac:dyDescent="0.3"/>
    <row r="107" s="31" customFormat="1" x14ac:dyDescent="0.3"/>
    <row r="108" s="31" customFormat="1" x14ac:dyDescent="0.3"/>
    <row r="109" s="31" customFormat="1" x14ac:dyDescent="0.3"/>
    <row r="110" s="31" customFormat="1" x14ac:dyDescent="0.3"/>
    <row r="111" s="31" customFormat="1" x14ac:dyDescent="0.3"/>
    <row r="112" s="31" customFormat="1" x14ac:dyDescent="0.3"/>
    <row r="113" s="31" customFormat="1" x14ac:dyDescent="0.3"/>
    <row r="114" s="31" customFormat="1" x14ac:dyDescent="0.3"/>
    <row r="115" s="31" customFormat="1" x14ac:dyDescent="0.3"/>
    <row r="116" s="31" customFormat="1" x14ac:dyDescent="0.3"/>
    <row r="117" s="31" customFormat="1" x14ac:dyDescent="0.3"/>
    <row r="118" s="31" customFormat="1" x14ac:dyDescent="0.3"/>
    <row r="119" s="31" customFormat="1" x14ac:dyDescent="0.3"/>
    <row r="120" s="31" customFormat="1" x14ac:dyDescent="0.3"/>
    <row r="121" s="31" customFormat="1" x14ac:dyDescent="0.3"/>
    <row r="122" s="31" customFormat="1" x14ac:dyDescent="0.3"/>
    <row r="123" s="31" customFormat="1" x14ac:dyDescent="0.3"/>
    <row r="124" s="31" customFormat="1" x14ac:dyDescent="0.3"/>
    <row r="125" s="31" customFormat="1" x14ac:dyDescent="0.3"/>
    <row r="126" s="31" customFormat="1" x14ac:dyDescent="0.3"/>
    <row r="127" s="31" customFormat="1" x14ac:dyDescent="0.3"/>
    <row r="128" s="31" customFormat="1" x14ac:dyDescent="0.3"/>
    <row r="129" s="31" customFormat="1" x14ac:dyDescent="0.3"/>
    <row r="130" s="31" customFormat="1" x14ac:dyDescent="0.3"/>
    <row r="131" s="31" customFormat="1" x14ac:dyDescent="0.3"/>
    <row r="132" s="31" customFormat="1" x14ac:dyDescent="0.3"/>
    <row r="133" s="31" customFormat="1" x14ac:dyDescent="0.3"/>
    <row r="134" s="31" customFormat="1" x14ac:dyDescent="0.3"/>
    <row r="135" s="31" customFormat="1" x14ac:dyDescent="0.3"/>
    <row r="136" s="31" customFormat="1" x14ac:dyDescent="0.3"/>
    <row r="137" s="31" customFormat="1" x14ac:dyDescent="0.3"/>
    <row r="138" s="31" customFormat="1" x14ac:dyDescent="0.3"/>
    <row r="139" s="31" customFormat="1" x14ac:dyDescent="0.3"/>
    <row r="140" s="31" customFormat="1" x14ac:dyDescent="0.3"/>
    <row r="141" s="31" customFormat="1" x14ac:dyDescent="0.3"/>
    <row r="142" s="31" customFormat="1" x14ac:dyDescent="0.3"/>
    <row r="143" s="31" customFormat="1" x14ac:dyDescent="0.3"/>
    <row r="144" s="31" customFormat="1" x14ac:dyDescent="0.3"/>
    <row r="145" s="31" customFormat="1" x14ac:dyDescent="0.3"/>
    <row r="146" s="31" customFormat="1" x14ac:dyDescent="0.3"/>
    <row r="147" s="31" customFormat="1" x14ac:dyDescent="0.3"/>
    <row r="148" s="31" customFormat="1" x14ac:dyDescent="0.3"/>
    <row r="149" s="31" customFormat="1" x14ac:dyDescent="0.3"/>
    <row r="150" s="31" customFormat="1" x14ac:dyDescent="0.3"/>
    <row r="151" s="31" customFormat="1" x14ac:dyDescent="0.3"/>
    <row r="152" s="31" customFormat="1" x14ac:dyDescent="0.3"/>
    <row r="153" s="31" customFormat="1" x14ac:dyDescent="0.3"/>
    <row r="154" s="31" customFormat="1" x14ac:dyDescent="0.3"/>
    <row r="155" s="31" customFormat="1" x14ac:dyDescent="0.3"/>
    <row r="156" s="31" customFormat="1" x14ac:dyDescent="0.3"/>
    <row r="157" s="31" customFormat="1" x14ac:dyDescent="0.3"/>
    <row r="158" s="31" customFormat="1" x14ac:dyDescent="0.3"/>
    <row r="159" s="31" customFormat="1" x14ac:dyDescent="0.3"/>
    <row r="160" s="31" customFormat="1" x14ac:dyDescent="0.3"/>
    <row r="161" s="31" customFormat="1" x14ac:dyDescent="0.3"/>
    <row r="162" s="31" customFormat="1" x14ac:dyDescent="0.3"/>
    <row r="163" s="31" customFormat="1" x14ac:dyDescent="0.3"/>
    <row r="164" s="31" customFormat="1" x14ac:dyDescent="0.3"/>
    <row r="165" s="31" customFormat="1" x14ac:dyDescent="0.3"/>
    <row r="166" s="31" customFormat="1" x14ac:dyDescent="0.3"/>
    <row r="167" s="31" customFormat="1" x14ac:dyDescent="0.3"/>
    <row r="168" s="31" customFormat="1" x14ac:dyDescent="0.3"/>
    <row r="169" s="31" customFormat="1" x14ac:dyDescent="0.3"/>
    <row r="170" s="31" customFormat="1" x14ac:dyDescent="0.3"/>
    <row r="171" s="31" customFormat="1" x14ac:dyDescent="0.3"/>
    <row r="172" s="31" customFormat="1" x14ac:dyDescent="0.3"/>
    <row r="173" s="31" customFormat="1" x14ac:dyDescent="0.3"/>
    <row r="174" s="31" customFormat="1" x14ac:dyDescent="0.3"/>
    <row r="175" s="31" customFormat="1" x14ac:dyDescent="0.3"/>
    <row r="176" s="31" customFormat="1" x14ac:dyDescent="0.3"/>
    <row r="177" s="31" customFormat="1" x14ac:dyDescent="0.3"/>
    <row r="178" s="31" customFormat="1" x14ac:dyDescent="0.3"/>
    <row r="179" s="31" customFormat="1" x14ac:dyDescent="0.3"/>
    <row r="180" s="31" customFormat="1" x14ac:dyDescent="0.3"/>
    <row r="181" s="31" customFormat="1" x14ac:dyDescent="0.3"/>
    <row r="182" s="31" customFormat="1" x14ac:dyDescent="0.3"/>
    <row r="183" s="31" customFormat="1" x14ac:dyDescent="0.3"/>
    <row r="184" s="31" customFormat="1" x14ac:dyDescent="0.3"/>
    <row r="185" s="31" customFormat="1" x14ac:dyDescent="0.3"/>
    <row r="186" s="31" customFormat="1" x14ac:dyDescent="0.3"/>
    <row r="187" s="31" customFormat="1" x14ac:dyDescent="0.3"/>
    <row r="188" s="31" customFormat="1" x14ac:dyDescent="0.3"/>
    <row r="189" s="31" customFormat="1" x14ac:dyDescent="0.3"/>
    <row r="190" s="31" customFormat="1" x14ac:dyDescent="0.3"/>
    <row r="191" s="31" customFormat="1" x14ac:dyDescent="0.3"/>
    <row r="192" s="31" customFormat="1" x14ac:dyDescent="0.3"/>
    <row r="193" s="31" customFormat="1" x14ac:dyDescent="0.3"/>
    <row r="194" s="31" customFormat="1" x14ac:dyDescent="0.3"/>
    <row r="195" s="31" customFormat="1" x14ac:dyDescent="0.3"/>
    <row r="196" s="31" customFormat="1" x14ac:dyDescent="0.3"/>
    <row r="197" s="31" customFormat="1" x14ac:dyDescent="0.3"/>
    <row r="198" s="31" customFormat="1" x14ac:dyDescent="0.3"/>
    <row r="199" s="31" customFormat="1" x14ac:dyDescent="0.3"/>
    <row r="200" s="31" customFormat="1" x14ac:dyDescent="0.3"/>
    <row r="201" s="31" customFormat="1" x14ac:dyDescent="0.3"/>
    <row r="202" s="31" customFormat="1" x14ac:dyDescent="0.3"/>
    <row r="203" s="31" customFormat="1" x14ac:dyDescent="0.3"/>
    <row r="204" s="31" customFormat="1" x14ac:dyDescent="0.3"/>
    <row r="205" s="31" customFormat="1" x14ac:dyDescent="0.3"/>
    <row r="206" s="31" customFormat="1" x14ac:dyDescent="0.3"/>
    <row r="207" s="31" customFormat="1" x14ac:dyDescent="0.3"/>
    <row r="208" s="31" customFormat="1" x14ac:dyDescent="0.3"/>
    <row r="209" s="31" customFormat="1" x14ac:dyDescent="0.3"/>
    <row r="210" s="31" customFormat="1" x14ac:dyDescent="0.3"/>
    <row r="211" s="31" customFormat="1" x14ac:dyDescent="0.3"/>
    <row r="212" s="31" customFormat="1" x14ac:dyDescent="0.3"/>
    <row r="213" s="31" customFormat="1" x14ac:dyDescent="0.3"/>
    <row r="214" s="31" customFormat="1" x14ac:dyDescent="0.3"/>
    <row r="215" s="31" customFormat="1" x14ac:dyDescent="0.3"/>
    <row r="216" s="31" customFormat="1" x14ac:dyDescent="0.3"/>
    <row r="217" s="31" customFormat="1" x14ac:dyDescent="0.3"/>
    <row r="218" s="31" customFormat="1" x14ac:dyDescent="0.3"/>
    <row r="219" s="31" customFormat="1" x14ac:dyDescent="0.3"/>
    <row r="220" s="31" customFormat="1" x14ac:dyDescent="0.3"/>
    <row r="221" s="31" customFormat="1" x14ac:dyDescent="0.3"/>
    <row r="222" s="31" customFormat="1" x14ac:dyDescent="0.3"/>
    <row r="223" s="31" customFormat="1" x14ac:dyDescent="0.3"/>
    <row r="224" s="31" customFormat="1" x14ac:dyDescent="0.3"/>
    <row r="225" s="31" customFormat="1" x14ac:dyDescent="0.3"/>
    <row r="226" s="31" customFormat="1" x14ac:dyDescent="0.3"/>
    <row r="227" s="31" customFormat="1" x14ac:dyDescent="0.3"/>
    <row r="228" s="31" customFormat="1" x14ac:dyDescent="0.3"/>
    <row r="229" s="31" customFormat="1" x14ac:dyDescent="0.3"/>
    <row r="230" s="31" customFormat="1" x14ac:dyDescent="0.3"/>
    <row r="231" s="31" customFormat="1" x14ac:dyDescent="0.3"/>
    <row r="232" s="31" customFormat="1" x14ac:dyDescent="0.3"/>
    <row r="233" s="31" customFormat="1" x14ac:dyDescent="0.3"/>
    <row r="234" s="31" customFormat="1" x14ac:dyDescent="0.3"/>
    <row r="235" s="31" customFormat="1" x14ac:dyDescent="0.3"/>
    <row r="236" s="31" customFormat="1" x14ac:dyDescent="0.3"/>
    <row r="237" s="31" customFormat="1" x14ac:dyDescent="0.3"/>
    <row r="238" s="31" customFormat="1" x14ac:dyDescent="0.3"/>
    <row r="239" s="31" customFormat="1" x14ac:dyDescent="0.3"/>
    <row r="240" s="31" customFormat="1" x14ac:dyDescent="0.3"/>
    <row r="241" s="31" customFormat="1" x14ac:dyDescent="0.3"/>
  </sheetData>
  <pageMargins left="0.75" right="0.75" top="1" bottom="1" header="0.5" footer="0.5"/>
  <customProperties>
    <customPr name="KSheetIndex" r:id="rId1"/>
  </customPropertie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dimension ref="A1:AG203"/>
  <sheetViews>
    <sheetView workbookViewId="0">
      <selection activeCell="J3" sqref="J3"/>
    </sheetView>
  </sheetViews>
  <sheetFormatPr defaultColWidth="9.109375" defaultRowHeight="14.4" x14ac:dyDescent="0.3"/>
  <cols>
    <col min="1" max="5" width="9.109375" style="17"/>
    <col min="6" max="6" width="74.88671875" style="17" customWidth="1"/>
    <col min="7" max="10" width="9.109375" style="17"/>
    <col min="11" max="33" width="9.109375" style="31"/>
    <col min="34" max="16384" width="9.109375" style="17"/>
  </cols>
  <sheetData>
    <row r="1" spans="1:10" x14ac:dyDescent="0.3">
      <c r="A1" s="26" t="s">
        <v>3</v>
      </c>
      <c r="B1" s="26" t="s">
        <v>4</v>
      </c>
      <c r="C1" s="26" t="s">
        <v>5</v>
      </c>
      <c r="D1" s="26" t="s">
        <v>6</v>
      </c>
      <c r="E1" s="26" t="s">
        <v>7</v>
      </c>
      <c r="F1" s="26" t="s">
        <v>8</v>
      </c>
      <c r="G1" s="26" t="s">
        <v>99</v>
      </c>
      <c r="H1" s="26" t="s">
        <v>110</v>
      </c>
      <c r="I1" s="26" t="s">
        <v>9</v>
      </c>
      <c r="J1" s="26" t="s">
        <v>100</v>
      </c>
    </row>
    <row r="2" spans="1:10" ht="15" hidden="1" thickTop="1" x14ac:dyDescent="0.3">
      <c r="A2" s="21" t="s">
        <v>10</v>
      </c>
      <c r="B2" s="22" t="s">
        <v>10</v>
      </c>
      <c r="C2" s="22"/>
      <c r="D2" s="22" t="s">
        <v>11</v>
      </c>
      <c r="E2" s="22" t="s">
        <v>104</v>
      </c>
      <c r="F2" s="22" t="s">
        <v>115</v>
      </c>
      <c r="G2" s="22">
        <v>0</v>
      </c>
      <c r="H2" s="22" t="s">
        <v>105</v>
      </c>
      <c r="I2" s="22">
        <v>0</v>
      </c>
      <c r="J2" s="22" t="s">
        <v>72</v>
      </c>
    </row>
    <row r="3" spans="1:10" ht="86.4" x14ac:dyDescent="0.3">
      <c r="A3" s="23" t="s">
        <v>10</v>
      </c>
      <c r="B3" s="24" t="s">
        <v>10</v>
      </c>
      <c r="C3" s="24"/>
      <c r="D3" s="24" t="s">
        <v>11</v>
      </c>
      <c r="E3" s="24" t="s">
        <v>102</v>
      </c>
      <c r="F3" s="36" t="s">
        <v>116</v>
      </c>
      <c r="G3" s="24">
        <v>0</v>
      </c>
      <c r="H3" s="24" t="s">
        <v>103</v>
      </c>
      <c r="I3" s="24">
        <v>0</v>
      </c>
      <c r="J3" s="24" t="s">
        <v>74</v>
      </c>
    </row>
    <row r="4" spans="1:10" x14ac:dyDescent="0.3">
      <c r="A4" s="23" t="s">
        <v>10</v>
      </c>
      <c r="B4" s="24" t="s">
        <v>10</v>
      </c>
      <c r="C4" s="24"/>
      <c r="D4" s="24" t="s">
        <v>11</v>
      </c>
      <c r="E4" s="24" t="s">
        <v>101</v>
      </c>
      <c r="F4" s="24" t="s">
        <v>117</v>
      </c>
      <c r="G4" s="24">
        <v>0</v>
      </c>
      <c r="H4" s="24" t="s">
        <v>118</v>
      </c>
      <c r="I4" s="24">
        <v>0</v>
      </c>
      <c r="J4" s="24" t="s">
        <v>74</v>
      </c>
    </row>
    <row r="5" spans="1:10" hidden="1" x14ac:dyDescent="0.3">
      <c r="A5" s="23" t="s">
        <v>10</v>
      </c>
      <c r="B5" s="24" t="s">
        <v>10</v>
      </c>
      <c r="C5" s="24"/>
      <c r="D5" s="24" t="s">
        <v>55</v>
      </c>
      <c r="E5" s="24" t="s">
        <v>56</v>
      </c>
      <c r="F5" s="24" t="s">
        <v>119</v>
      </c>
      <c r="G5" s="24">
        <v>0</v>
      </c>
      <c r="H5" s="24" t="s">
        <v>57</v>
      </c>
      <c r="I5" s="24">
        <v>0</v>
      </c>
      <c r="J5" s="24" t="s">
        <v>72</v>
      </c>
    </row>
    <row r="6" spans="1:10" hidden="1" x14ac:dyDescent="0.3">
      <c r="A6" s="23" t="s">
        <v>10</v>
      </c>
      <c r="B6" s="24" t="s">
        <v>10</v>
      </c>
      <c r="C6" s="24"/>
      <c r="D6" s="24" t="s">
        <v>53</v>
      </c>
      <c r="E6" s="24" t="s">
        <v>54</v>
      </c>
      <c r="F6" s="24" t="s">
        <v>120</v>
      </c>
      <c r="G6" s="24">
        <v>0</v>
      </c>
      <c r="H6" s="24" t="s">
        <v>52</v>
      </c>
      <c r="I6" s="24">
        <v>0</v>
      </c>
      <c r="J6" s="24" t="s">
        <v>72</v>
      </c>
    </row>
    <row r="7" spans="1:10" hidden="1" x14ac:dyDescent="0.3">
      <c r="A7" s="23" t="s">
        <v>10</v>
      </c>
      <c r="B7" s="24" t="s">
        <v>10</v>
      </c>
      <c r="C7" s="24"/>
      <c r="D7" s="24" t="s">
        <v>50</v>
      </c>
      <c r="E7" s="24" t="s">
        <v>51</v>
      </c>
      <c r="F7" s="24" t="s">
        <v>121</v>
      </c>
      <c r="G7" s="24">
        <v>0</v>
      </c>
      <c r="H7" s="24" t="s">
        <v>47</v>
      </c>
      <c r="I7" s="24">
        <v>0</v>
      </c>
      <c r="J7" s="24" t="s">
        <v>72</v>
      </c>
    </row>
    <row r="8" spans="1:10" hidden="1" x14ac:dyDescent="0.3">
      <c r="A8" s="23" t="s">
        <v>122</v>
      </c>
      <c r="B8" s="24" t="s">
        <v>123</v>
      </c>
      <c r="C8" s="24"/>
      <c r="D8" s="24" t="s">
        <v>35</v>
      </c>
      <c r="E8" s="24" t="s">
        <v>45</v>
      </c>
      <c r="F8" s="24" t="s">
        <v>46</v>
      </c>
      <c r="G8" s="24">
        <v>0</v>
      </c>
      <c r="H8" s="24" t="s">
        <v>47</v>
      </c>
      <c r="I8" s="24">
        <v>3</v>
      </c>
      <c r="J8" s="24" t="s">
        <v>72</v>
      </c>
    </row>
    <row r="9" spans="1:10" hidden="1" x14ac:dyDescent="0.3">
      <c r="A9" s="23" t="s">
        <v>122</v>
      </c>
      <c r="B9" s="24" t="s">
        <v>123</v>
      </c>
      <c r="C9" s="24"/>
      <c r="D9" s="24" t="s">
        <v>35</v>
      </c>
      <c r="E9" s="24" t="s">
        <v>43</v>
      </c>
      <c r="F9" s="24" t="s">
        <v>124</v>
      </c>
      <c r="G9" s="24">
        <v>0</v>
      </c>
      <c r="H9" s="24" t="s">
        <v>44</v>
      </c>
      <c r="I9" s="24">
        <v>1</v>
      </c>
      <c r="J9" s="24" t="s">
        <v>72</v>
      </c>
    </row>
    <row r="10" spans="1:10" hidden="1" x14ac:dyDescent="0.3">
      <c r="A10" s="23" t="s">
        <v>125</v>
      </c>
      <c r="B10" s="24" t="s">
        <v>126</v>
      </c>
      <c r="C10" s="24"/>
      <c r="D10" s="24" t="s">
        <v>35</v>
      </c>
      <c r="E10" s="24" t="s">
        <v>41</v>
      </c>
      <c r="F10" s="24" t="s">
        <v>127</v>
      </c>
      <c r="G10" s="24">
        <v>0</v>
      </c>
      <c r="H10" s="24" t="s">
        <v>42</v>
      </c>
      <c r="I10" s="24">
        <v>0</v>
      </c>
      <c r="J10" s="24" t="s">
        <v>72</v>
      </c>
    </row>
    <row r="11" spans="1:10" x14ac:dyDescent="0.3">
      <c r="A11" s="23" t="s">
        <v>125</v>
      </c>
      <c r="B11" s="24" t="s">
        <v>10</v>
      </c>
      <c r="C11" s="24"/>
      <c r="D11" s="24" t="s">
        <v>35</v>
      </c>
      <c r="E11" s="24" t="s">
        <v>37</v>
      </c>
      <c r="F11" s="24" t="s">
        <v>128</v>
      </c>
      <c r="G11" s="24">
        <v>0</v>
      </c>
      <c r="H11" s="24" t="s">
        <v>38</v>
      </c>
      <c r="I11" s="24">
        <v>0</v>
      </c>
      <c r="J11" s="24" t="s">
        <v>74</v>
      </c>
    </row>
    <row r="12" spans="1:10" hidden="1" x14ac:dyDescent="0.3">
      <c r="A12" s="23" t="s">
        <v>129</v>
      </c>
      <c r="B12" s="24" t="s">
        <v>130</v>
      </c>
      <c r="C12" s="24"/>
      <c r="D12" s="24" t="s">
        <v>35</v>
      </c>
      <c r="E12" s="24" t="s">
        <v>36</v>
      </c>
      <c r="F12" s="24" t="s">
        <v>131</v>
      </c>
      <c r="G12" s="24">
        <v>0</v>
      </c>
      <c r="H12" s="24" t="s">
        <v>132</v>
      </c>
      <c r="I12" s="24">
        <v>0</v>
      </c>
      <c r="J12" s="24" t="s">
        <v>72</v>
      </c>
    </row>
    <row r="13" spans="1:10" hidden="1" x14ac:dyDescent="0.3">
      <c r="A13" s="23" t="s">
        <v>129</v>
      </c>
      <c r="B13" s="24" t="s">
        <v>10</v>
      </c>
      <c r="C13" s="24"/>
      <c r="D13" s="24" t="s">
        <v>17</v>
      </c>
      <c r="E13" s="24" t="s">
        <v>33</v>
      </c>
      <c r="F13" s="24" t="s">
        <v>133</v>
      </c>
      <c r="G13" s="24">
        <v>0</v>
      </c>
      <c r="H13" s="24" t="s">
        <v>34</v>
      </c>
      <c r="I13" s="24">
        <v>1</v>
      </c>
      <c r="J13" s="24" t="s">
        <v>72</v>
      </c>
    </row>
    <row r="14" spans="1:10" hidden="1" x14ac:dyDescent="0.3">
      <c r="A14" s="23" t="s">
        <v>129</v>
      </c>
      <c r="B14" s="24" t="s">
        <v>10</v>
      </c>
      <c r="C14" s="24"/>
      <c r="D14" s="24" t="s">
        <v>17</v>
      </c>
      <c r="E14" s="24" t="s">
        <v>31</v>
      </c>
      <c r="F14" s="24" t="s">
        <v>134</v>
      </c>
      <c r="G14" s="24">
        <v>2</v>
      </c>
      <c r="H14" s="24" t="s">
        <v>32</v>
      </c>
      <c r="I14" s="24">
        <v>0</v>
      </c>
      <c r="J14" s="24" t="s">
        <v>72</v>
      </c>
    </row>
    <row r="15" spans="1:10" hidden="1" x14ac:dyDescent="0.3">
      <c r="A15" s="23" t="s">
        <v>129</v>
      </c>
      <c r="B15" s="24" t="s">
        <v>10</v>
      </c>
      <c r="C15" s="24"/>
      <c r="D15" s="24" t="s">
        <v>17</v>
      </c>
      <c r="E15" s="24" t="s">
        <v>29</v>
      </c>
      <c r="F15" s="24" t="s">
        <v>135</v>
      </c>
      <c r="G15" s="24">
        <v>0</v>
      </c>
      <c r="H15" s="24" t="s">
        <v>30</v>
      </c>
      <c r="I15" s="24">
        <v>0</v>
      </c>
      <c r="J15" s="24" t="s">
        <v>72</v>
      </c>
    </row>
    <row r="16" spans="1:10" hidden="1" x14ac:dyDescent="0.3">
      <c r="A16" s="23" t="s">
        <v>136</v>
      </c>
      <c r="B16" s="24" t="s">
        <v>137</v>
      </c>
      <c r="C16" s="24"/>
      <c r="D16" s="24" t="s">
        <v>21</v>
      </c>
      <c r="E16" s="24" t="s">
        <v>27</v>
      </c>
      <c r="F16" s="24" t="s">
        <v>138</v>
      </c>
      <c r="G16" s="24">
        <v>0</v>
      </c>
      <c r="H16" s="24" t="s">
        <v>28</v>
      </c>
      <c r="I16" s="24">
        <v>0</v>
      </c>
      <c r="J16" s="24" t="s">
        <v>72</v>
      </c>
    </row>
    <row r="17" spans="1:10" hidden="1" x14ac:dyDescent="0.3">
      <c r="A17" s="23" t="s">
        <v>136</v>
      </c>
      <c r="B17" s="24" t="s">
        <v>10</v>
      </c>
      <c r="C17" s="24"/>
      <c r="D17" s="24" t="s">
        <v>21</v>
      </c>
      <c r="E17" s="24" t="s">
        <v>25</v>
      </c>
      <c r="F17" s="24" t="s">
        <v>139</v>
      </c>
      <c r="G17" s="24">
        <v>0</v>
      </c>
      <c r="H17" s="24" t="s">
        <v>26</v>
      </c>
      <c r="I17" s="24">
        <v>0</v>
      </c>
      <c r="J17" s="24" t="s">
        <v>72</v>
      </c>
    </row>
    <row r="18" spans="1:10" hidden="1" x14ac:dyDescent="0.3">
      <c r="A18" s="23" t="s">
        <v>136</v>
      </c>
      <c r="B18" s="24" t="s">
        <v>10</v>
      </c>
      <c r="C18" s="24"/>
      <c r="D18" s="24" t="s">
        <v>21</v>
      </c>
      <c r="E18" s="24" t="s">
        <v>23</v>
      </c>
      <c r="F18" s="24" t="s">
        <v>140</v>
      </c>
      <c r="G18" s="24">
        <v>2</v>
      </c>
      <c r="H18" s="24" t="s">
        <v>24</v>
      </c>
      <c r="I18" s="24">
        <v>1</v>
      </c>
      <c r="J18" s="24" t="s">
        <v>72</v>
      </c>
    </row>
    <row r="19" spans="1:10" hidden="1" x14ac:dyDescent="0.3">
      <c r="A19" s="23" t="s">
        <v>136</v>
      </c>
      <c r="B19" s="24" t="s">
        <v>10</v>
      </c>
      <c r="C19" s="24"/>
      <c r="D19" s="24" t="s">
        <v>21</v>
      </c>
      <c r="E19" s="24" t="s">
        <v>22</v>
      </c>
      <c r="F19" s="24" t="s">
        <v>141</v>
      </c>
      <c r="G19" s="24">
        <v>2</v>
      </c>
      <c r="H19" s="24" t="s">
        <v>142</v>
      </c>
      <c r="I19" s="24">
        <v>1</v>
      </c>
      <c r="J19" s="24" t="s">
        <v>72</v>
      </c>
    </row>
    <row r="20" spans="1:10" hidden="1" x14ac:dyDescent="0.3">
      <c r="A20" s="23" t="s">
        <v>136</v>
      </c>
      <c r="B20" s="24" t="s">
        <v>10</v>
      </c>
      <c r="C20" s="24"/>
      <c r="D20" s="24" t="s">
        <v>14</v>
      </c>
      <c r="E20" s="24" t="s">
        <v>19</v>
      </c>
      <c r="F20" s="24" t="s">
        <v>143</v>
      </c>
      <c r="G20" s="24">
        <v>0</v>
      </c>
      <c r="H20" s="24" t="s">
        <v>20</v>
      </c>
      <c r="I20" s="24">
        <v>1</v>
      </c>
      <c r="J20" s="24" t="s">
        <v>72</v>
      </c>
    </row>
    <row r="21" spans="1:10" hidden="1" x14ac:dyDescent="0.3">
      <c r="A21" s="23" t="s">
        <v>136</v>
      </c>
      <c r="B21" s="24" t="s">
        <v>10</v>
      </c>
      <c r="C21" s="24"/>
      <c r="D21" s="24" t="s">
        <v>17</v>
      </c>
      <c r="E21" s="24" t="s">
        <v>18</v>
      </c>
      <c r="F21" s="24" t="s">
        <v>144</v>
      </c>
      <c r="G21" s="24">
        <v>0</v>
      </c>
      <c r="H21" s="24" t="s">
        <v>145</v>
      </c>
      <c r="I21" s="24">
        <v>0</v>
      </c>
      <c r="J21" s="24" t="s">
        <v>72</v>
      </c>
    </row>
    <row r="22" spans="1:10" hidden="1" x14ac:dyDescent="0.3">
      <c r="A22" s="23" t="s">
        <v>136</v>
      </c>
      <c r="B22" s="24" t="s">
        <v>12</v>
      </c>
      <c r="C22" s="24"/>
      <c r="D22" s="24" t="s">
        <v>14</v>
      </c>
      <c r="E22" s="24" t="s">
        <v>15</v>
      </c>
      <c r="F22" s="24" t="s">
        <v>146</v>
      </c>
      <c r="G22" s="24">
        <v>0</v>
      </c>
      <c r="H22" s="24" t="s">
        <v>16</v>
      </c>
      <c r="I22" s="24">
        <v>0</v>
      </c>
      <c r="J22" s="24" t="s">
        <v>72</v>
      </c>
    </row>
    <row r="23" spans="1:10" hidden="1" x14ac:dyDescent="0.3">
      <c r="A23" s="23" t="s">
        <v>136</v>
      </c>
      <c r="B23" s="24" t="s">
        <v>10</v>
      </c>
      <c r="C23" s="24"/>
      <c r="D23" s="24" t="s">
        <v>12</v>
      </c>
      <c r="E23" s="24" t="s">
        <v>13</v>
      </c>
      <c r="F23" s="24" t="s">
        <v>147</v>
      </c>
      <c r="G23" s="24">
        <v>0</v>
      </c>
      <c r="H23" s="24" t="s">
        <v>148</v>
      </c>
      <c r="I23" s="24">
        <v>1</v>
      </c>
      <c r="J23" s="24" t="s">
        <v>72</v>
      </c>
    </row>
    <row r="24" spans="1:10" x14ac:dyDescent="0.3">
      <c r="A24" s="23"/>
      <c r="B24" s="24"/>
      <c r="C24" s="24"/>
      <c r="D24" s="24"/>
      <c r="E24" s="24"/>
      <c r="F24" s="24"/>
      <c r="G24" s="24"/>
      <c r="H24" s="24"/>
      <c r="I24" s="24"/>
      <c r="J24" s="24"/>
    </row>
    <row r="25" spans="1:10" x14ac:dyDescent="0.3">
      <c r="A25" s="23"/>
      <c r="B25" s="24"/>
      <c r="C25" s="24"/>
      <c r="D25" s="24"/>
      <c r="E25" s="24"/>
      <c r="F25" s="24"/>
      <c r="G25" s="24"/>
      <c r="H25" s="24"/>
      <c r="I25" s="24"/>
      <c r="J25" s="24"/>
    </row>
    <row r="26" spans="1:10" x14ac:dyDescent="0.3">
      <c r="A26" s="23"/>
      <c r="B26" s="24"/>
      <c r="C26" s="24"/>
      <c r="D26" s="24"/>
      <c r="E26" s="24"/>
      <c r="F26" s="24"/>
      <c r="G26" s="24"/>
      <c r="H26" s="24"/>
      <c r="I26" s="24"/>
      <c r="J26" s="24"/>
    </row>
    <row r="27" spans="1:10" x14ac:dyDescent="0.3">
      <c r="A27" s="23"/>
      <c r="B27" s="24"/>
      <c r="C27" s="24"/>
      <c r="D27" s="24"/>
      <c r="E27" s="24"/>
      <c r="F27" s="24"/>
      <c r="G27" s="24"/>
      <c r="H27" s="24"/>
      <c r="I27" s="24"/>
      <c r="J27" s="24"/>
    </row>
    <row r="28" spans="1:10" x14ac:dyDescent="0.3">
      <c r="A28" s="23"/>
      <c r="B28" s="24"/>
      <c r="C28" s="24"/>
      <c r="D28" s="24"/>
      <c r="E28" s="24"/>
      <c r="F28" s="24"/>
      <c r="G28" s="24"/>
      <c r="H28" s="24"/>
      <c r="I28" s="24"/>
      <c r="J28" s="24"/>
    </row>
    <row r="29" spans="1:10" x14ac:dyDescent="0.3">
      <c r="A29" s="23"/>
      <c r="B29" s="24"/>
      <c r="C29" s="24"/>
      <c r="D29" s="24"/>
      <c r="E29" s="24"/>
      <c r="F29" s="24"/>
      <c r="G29" s="24"/>
      <c r="H29" s="24"/>
      <c r="I29" s="24"/>
      <c r="J29" s="24"/>
    </row>
    <row r="30" spans="1:10" x14ac:dyDescent="0.3">
      <c r="A30" s="23"/>
      <c r="B30" s="24"/>
      <c r="C30" s="24"/>
      <c r="D30" s="24"/>
      <c r="E30" s="24"/>
      <c r="F30" s="24"/>
      <c r="G30" s="24"/>
      <c r="H30" s="24"/>
      <c r="I30" s="24"/>
      <c r="J30" s="24"/>
    </row>
    <row r="31" spans="1:10" x14ac:dyDescent="0.3">
      <c r="A31" s="23"/>
      <c r="B31" s="24"/>
      <c r="C31" s="24"/>
      <c r="D31" s="24"/>
      <c r="E31" s="24"/>
      <c r="F31" s="24"/>
      <c r="G31" s="24"/>
      <c r="H31" s="24"/>
      <c r="I31" s="24"/>
      <c r="J31" s="24"/>
    </row>
    <row r="32" spans="1:10" x14ac:dyDescent="0.3">
      <c r="A32" s="23"/>
      <c r="B32" s="24"/>
      <c r="C32" s="24"/>
      <c r="D32" s="24"/>
      <c r="E32" s="24"/>
      <c r="F32" s="24"/>
      <c r="G32" s="24"/>
      <c r="H32" s="24"/>
      <c r="I32" s="24"/>
      <c r="J32" s="24"/>
    </row>
    <row r="33" spans="1:10" x14ac:dyDescent="0.3">
      <c r="A33" s="23"/>
      <c r="B33" s="24"/>
      <c r="C33" s="24"/>
      <c r="D33" s="24"/>
      <c r="E33" s="24"/>
      <c r="F33" s="24"/>
      <c r="G33" s="24"/>
      <c r="H33" s="24"/>
      <c r="I33" s="24"/>
      <c r="J33" s="24"/>
    </row>
    <row r="34" spans="1:10" x14ac:dyDescent="0.3">
      <c r="A34" s="23"/>
      <c r="B34" s="24"/>
      <c r="C34" s="24"/>
      <c r="D34" s="24"/>
      <c r="E34" s="24"/>
      <c r="F34" s="24"/>
      <c r="G34" s="24"/>
      <c r="H34" s="24"/>
      <c r="I34" s="24"/>
      <c r="J34" s="24"/>
    </row>
    <row r="35" spans="1:10" x14ac:dyDescent="0.3">
      <c r="A35" s="23"/>
      <c r="B35" s="24"/>
      <c r="C35" s="24"/>
      <c r="D35" s="24"/>
      <c r="E35" s="24"/>
      <c r="F35" s="24"/>
      <c r="G35" s="24"/>
      <c r="H35" s="24"/>
      <c r="I35" s="24"/>
      <c r="J35" s="24"/>
    </row>
    <row r="36" spans="1:10" x14ac:dyDescent="0.3">
      <c r="A36" s="23"/>
      <c r="B36" s="24"/>
      <c r="C36" s="24"/>
      <c r="D36" s="24"/>
      <c r="E36" s="24"/>
      <c r="F36" s="24"/>
      <c r="G36" s="24"/>
      <c r="H36" s="24"/>
      <c r="I36" s="24"/>
      <c r="J36" s="24"/>
    </row>
    <row r="37" spans="1:10" x14ac:dyDescent="0.3">
      <c r="A37" s="23"/>
      <c r="B37" s="24"/>
      <c r="C37" s="24"/>
      <c r="D37" s="24"/>
      <c r="E37" s="24"/>
      <c r="F37" s="24"/>
      <c r="G37" s="24"/>
      <c r="H37" s="24"/>
      <c r="I37" s="24"/>
      <c r="J37" s="24"/>
    </row>
    <row r="38" spans="1:10" x14ac:dyDescent="0.3">
      <c r="A38" s="23"/>
      <c r="B38" s="24"/>
      <c r="C38" s="24"/>
      <c r="D38" s="24"/>
      <c r="E38" s="24"/>
      <c r="F38" s="24"/>
      <c r="G38" s="24"/>
      <c r="H38" s="24"/>
      <c r="I38" s="24"/>
      <c r="J38" s="24"/>
    </row>
    <row r="39" spans="1:10" x14ac:dyDescent="0.3">
      <c r="A39" s="23"/>
      <c r="B39" s="24"/>
      <c r="C39" s="24"/>
      <c r="D39" s="24"/>
      <c r="E39" s="24"/>
      <c r="F39" s="24"/>
      <c r="G39" s="24"/>
      <c r="H39" s="24"/>
      <c r="I39" s="24"/>
      <c r="J39" s="24"/>
    </row>
    <row r="40" spans="1:10" x14ac:dyDescent="0.3">
      <c r="A40" s="23"/>
      <c r="B40" s="24"/>
      <c r="C40" s="24"/>
      <c r="D40" s="24"/>
      <c r="E40" s="24"/>
      <c r="F40" s="24"/>
      <c r="G40" s="24"/>
      <c r="H40" s="24"/>
      <c r="I40" s="24"/>
      <c r="J40" s="24"/>
    </row>
    <row r="41" spans="1:10" x14ac:dyDescent="0.3">
      <c r="A41" s="23"/>
      <c r="B41" s="24"/>
      <c r="C41" s="24"/>
      <c r="D41" s="24"/>
      <c r="E41" s="24"/>
      <c r="F41" s="24"/>
      <c r="G41" s="24"/>
      <c r="H41" s="24"/>
      <c r="I41" s="24"/>
      <c r="J41" s="24"/>
    </row>
    <row r="42" spans="1:10" x14ac:dyDescent="0.3">
      <c r="A42" s="23"/>
      <c r="B42" s="24"/>
      <c r="C42" s="24"/>
      <c r="D42" s="24"/>
      <c r="E42" s="24"/>
      <c r="F42" s="24"/>
      <c r="G42" s="24"/>
      <c r="H42" s="24"/>
      <c r="I42" s="24"/>
      <c r="J42" s="24"/>
    </row>
    <row r="43" spans="1:10" x14ac:dyDescent="0.3">
      <c r="A43" s="23"/>
      <c r="B43" s="24"/>
      <c r="C43" s="24"/>
      <c r="D43" s="24"/>
      <c r="E43" s="24"/>
      <c r="F43" s="24"/>
      <c r="G43" s="24"/>
      <c r="H43" s="24"/>
      <c r="I43" s="24"/>
      <c r="J43" s="24"/>
    </row>
    <row r="44" spans="1:10" x14ac:dyDescent="0.3">
      <c r="A44" s="23"/>
      <c r="B44" s="24"/>
      <c r="C44" s="24"/>
      <c r="D44" s="24"/>
      <c r="E44" s="24"/>
      <c r="F44" s="24"/>
      <c r="G44" s="24"/>
      <c r="H44" s="24"/>
      <c r="I44" s="24"/>
      <c r="J44" s="24"/>
    </row>
    <row r="45" spans="1:10" x14ac:dyDescent="0.3">
      <c r="A45" s="23"/>
      <c r="B45" s="24"/>
      <c r="C45" s="24"/>
      <c r="D45" s="24"/>
      <c r="E45" s="24"/>
      <c r="F45" s="24"/>
      <c r="G45" s="24"/>
      <c r="H45" s="24"/>
      <c r="I45" s="24"/>
      <c r="J45" s="24"/>
    </row>
    <row r="46" spans="1:10" x14ac:dyDescent="0.3">
      <c r="A46" s="23"/>
      <c r="B46" s="24"/>
      <c r="C46" s="24"/>
      <c r="D46" s="24"/>
      <c r="E46" s="24"/>
      <c r="F46" s="24"/>
      <c r="G46" s="24"/>
      <c r="H46" s="24"/>
      <c r="I46" s="24"/>
      <c r="J46" s="24"/>
    </row>
    <row r="47" spans="1:10" x14ac:dyDescent="0.3">
      <c r="A47" s="23"/>
      <c r="B47" s="24"/>
      <c r="C47" s="24"/>
      <c r="D47" s="24"/>
      <c r="E47" s="24"/>
      <c r="F47" s="24"/>
      <c r="G47" s="24"/>
      <c r="H47" s="24"/>
      <c r="I47" s="24"/>
      <c r="J47" s="24"/>
    </row>
    <row r="48" spans="1:10" x14ac:dyDescent="0.3">
      <c r="A48" s="23"/>
      <c r="B48" s="24"/>
      <c r="C48" s="24"/>
      <c r="D48" s="24"/>
      <c r="E48" s="24"/>
      <c r="F48" s="24"/>
      <c r="G48" s="24"/>
      <c r="H48" s="24"/>
      <c r="I48" s="24"/>
      <c r="J48" s="24"/>
    </row>
    <row r="49" spans="1:10" x14ac:dyDescent="0.3">
      <c r="A49" s="23"/>
      <c r="B49" s="24"/>
      <c r="C49" s="24"/>
      <c r="D49" s="24"/>
      <c r="E49" s="24"/>
      <c r="F49" s="24"/>
      <c r="G49" s="24"/>
      <c r="H49" s="24"/>
      <c r="I49" s="24"/>
      <c r="J49" s="24"/>
    </row>
    <row r="50" spans="1:10" x14ac:dyDescent="0.3">
      <c r="A50" s="23"/>
      <c r="B50" s="24"/>
      <c r="C50" s="24"/>
      <c r="D50" s="24"/>
      <c r="E50" s="24"/>
      <c r="F50" s="24"/>
      <c r="G50" s="24"/>
      <c r="H50" s="24"/>
      <c r="I50" s="24"/>
      <c r="J50" s="24"/>
    </row>
    <row r="51" spans="1:10" x14ac:dyDescent="0.3">
      <c r="A51" s="23"/>
      <c r="B51" s="24"/>
      <c r="C51" s="24"/>
      <c r="D51" s="24"/>
      <c r="E51" s="24"/>
      <c r="F51" s="24"/>
      <c r="G51" s="24"/>
      <c r="H51" s="24"/>
      <c r="I51" s="24"/>
      <c r="J51" s="24"/>
    </row>
    <row r="52" spans="1:10" x14ac:dyDescent="0.3">
      <c r="A52" s="23"/>
      <c r="B52" s="24"/>
      <c r="C52" s="24"/>
      <c r="D52" s="24"/>
      <c r="E52" s="24"/>
      <c r="F52" s="24"/>
      <c r="G52" s="24"/>
      <c r="H52" s="24"/>
      <c r="I52" s="24"/>
      <c r="J52" s="24"/>
    </row>
    <row r="53" spans="1:10" x14ac:dyDescent="0.3">
      <c r="A53" s="23"/>
      <c r="B53" s="24"/>
      <c r="C53" s="24"/>
      <c r="D53" s="24"/>
      <c r="E53" s="24"/>
      <c r="F53" s="24"/>
      <c r="G53" s="24"/>
      <c r="H53" s="24"/>
      <c r="I53" s="24"/>
      <c r="J53" s="24"/>
    </row>
    <row r="54" spans="1:10" x14ac:dyDescent="0.3">
      <c r="A54" s="23"/>
      <c r="B54" s="24"/>
      <c r="C54" s="24"/>
      <c r="D54" s="24"/>
      <c r="E54" s="24"/>
      <c r="F54" s="24"/>
      <c r="G54" s="24"/>
      <c r="H54" s="24"/>
      <c r="I54" s="24"/>
      <c r="J54" s="24"/>
    </row>
    <row r="55" spans="1:10" x14ac:dyDescent="0.3">
      <c r="A55" s="23"/>
      <c r="B55" s="24"/>
      <c r="C55" s="24"/>
      <c r="D55" s="24"/>
      <c r="E55" s="24"/>
      <c r="F55" s="24"/>
      <c r="G55" s="24"/>
      <c r="H55" s="24"/>
      <c r="I55" s="24"/>
      <c r="J55" s="24"/>
    </row>
    <row r="56" spans="1:10" x14ac:dyDescent="0.3">
      <c r="A56" s="23"/>
      <c r="B56" s="24"/>
      <c r="C56" s="24"/>
      <c r="D56" s="24"/>
      <c r="E56" s="24"/>
      <c r="F56" s="24"/>
      <c r="G56" s="24"/>
      <c r="H56" s="24"/>
      <c r="I56" s="24"/>
      <c r="J56" s="24"/>
    </row>
    <row r="57" spans="1:10" x14ac:dyDescent="0.3">
      <c r="A57" s="23"/>
      <c r="B57" s="24"/>
      <c r="C57" s="24"/>
      <c r="D57" s="24"/>
      <c r="E57" s="24"/>
      <c r="F57" s="24"/>
      <c r="G57" s="24"/>
      <c r="H57" s="24"/>
      <c r="I57" s="24"/>
      <c r="J57" s="24"/>
    </row>
    <row r="58" spans="1:10" x14ac:dyDescent="0.3">
      <c r="A58" s="23"/>
      <c r="B58" s="24"/>
      <c r="C58" s="24"/>
      <c r="D58" s="24"/>
      <c r="E58" s="24"/>
      <c r="F58" s="24"/>
      <c r="G58" s="24"/>
      <c r="H58" s="24"/>
      <c r="I58" s="24"/>
      <c r="J58" s="24"/>
    </row>
    <row r="59" spans="1:10" x14ac:dyDescent="0.3">
      <c r="A59" s="23"/>
      <c r="B59" s="24"/>
      <c r="C59" s="24"/>
      <c r="D59" s="24"/>
      <c r="E59" s="24"/>
      <c r="F59" s="24"/>
      <c r="G59" s="24"/>
      <c r="H59" s="24"/>
      <c r="I59" s="24"/>
      <c r="J59" s="24"/>
    </row>
    <row r="60" spans="1:10" x14ac:dyDescent="0.3">
      <c r="A60" s="23"/>
      <c r="B60" s="24"/>
      <c r="C60" s="24"/>
      <c r="D60" s="24"/>
      <c r="E60" s="24"/>
      <c r="F60" s="24"/>
      <c r="G60" s="24"/>
      <c r="H60" s="24"/>
      <c r="I60" s="24"/>
      <c r="J60" s="24"/>
    </row>
    <row r="61" spans="1:10" x14ac:dyDescent="0.3">
      <c r="A61" s="23"/>
      <c r="B61" s="24"/>
      <c r="C61" s="24"/>
      <c r="D61" s="24"/>
      <c r="E61" s="24"/>
      <c r="F61" s="24"/>
      <c r="G61" s="24"/>
      <c r="H61" s="24"/>
      <c r="I61" s="24"/>
      <c r="J61" s="24"/>
    </row>
    <row r="62" spans="1:10" x14ac:dyDescent="0.3">
      <c r="A62" s="23"/>
      <c r="B62" s="24"/>
      <c r="C62" s="24"/>
      <c r="D62" s="24"/>
      <c r="E62" s="24"/>
      <c r="F62" s="24"/>
      <c r="G62" s="24"/>
      <c r="H62" s="24"/>
      <c r="I62" s="24"/>
      <c r="J62" s="24"/>
    </row>
    <row r="63" spans="1:10" x14ac:dyDescent="0.3">
      <c r="A63" s="23"/>
      <c r="B63" s="24"/>
      <c r="C63" s="24"/>
      <c r="D63" s="24"/>
      <c r="E63" s="24"/>
      <c r="F63" s="24"/>
      <c r="G63" s="24"/>
      <c r="H63" s="24"/>
      <c r="I63" s="24"/>
      <c r="J63" s="24"/>
    </row>
    <row r="64" spans="1:10" x14ac:dyDescent="0.3">
      <c r="A64" s="23"/>
      <c r="B64" s="24"/>
      <c r="C64" s="24"/>
      <c r="D64" s="24"/>
      <c r="E64" s="24"/>
      <c r="F64" s="24"/>
      <c r="G64" s="24"/>
      <c r="H64" s="24"/>
      <c r="I64" s="24"/>
      <c r="J64" s="24"/>
    </row>
    <row r="65" spans="1:10" x14ac:dyDescent="0.3">
      <c r="A65" s="23"/>
      <c r="B65" s="24"/>
      <c r="C65" s="24"/>
      <c r="D65" s="24"/>
      <c r="E65" s="24"/>
      <c r="F65" s="24"/>
      <c r="G65" s="24"/>
      <c r="H65" s="24"/>
      <c r="I65" s="24"/>
      <c r="J65" s="24"/>
    </row>
    <row r="66" spans="1:10" x14ac:dyDescent="0.3">
      <c r="A66" s="23"/>
      <c r="B66" s="24"/>
      <c r="C66" s="24"/>
      <c r="D66" s="24"/>
      <c r="E66" s="24"/>
      <c r="F66" s="24"/>
      <c r="G66" s="24"/>
      <c r="H66" s="24"/>
      <c r="I66" s="24"/>
      <c r="J66" s="24"/>
    </row>
    <row r="67" spans="1:10" x14ac:dyDescent="0.3">
      <c r="A67" s="23"/>
      <c r="B67" s="24"/>
      <c r="C67" s="24"/>
      <c r="D67" s="24"/>
      <c r="E67" s="24"/>
      <c r="F67" s="24"/>
      <c r="G67" s="24"/>
      <c r="H67" s="24"/>
      <c r="I67" s="24"/>
      <c r="J67" s="24"/>
    </row>
    <row r="68" spans="1:10" x14ac:dyDescent="0.3">
      <c r="A68" s="23"/>
      <c r="B68" s="24"/>
      <c r="C68" s="24"/>
      <c r="D68" s="24"/>
      <c r="E68" s="24"/>
      <c r="F68" s="24"/>
      <c r="G68" s="24"/>
      <c r="H68" s="24"/>
      <c r="I68" s="24"/>
      <c r="J68" s="24"/>
    </row>
    <row r="69" spans="1:10" x14ac:dyDescent="0.3">
      <c r="A69" s="23"/>
      <c r="B69" s="24"/>
      <c r="C69" s="24"/>
      <c r="D69" s="24"/>
      <c r="E69" s="24"/>
      <c r="F69" s="24"/>
      <c r="G69" s="24"/>
      <c r="H69" s="24"/>
      <c r="I69" s="24"/>
      <c r="J69" s="24"/>
    </row>
    <row r="70" spans="1:10" x14ac:dyDescent="0.3">
      <c r="A70" s="23"/>
      <c r="B70" s="24"/>
      <c r="C70" s="24"/>
      <c r="D70" s="24"/>
      <c r="E70" s="24"/>
      <c r="F70" s="24"/>
      <c r="G70" s="24"/>
      <c r="H70" s="24"/>
      <c r="I70" s="24"/>
      <c r="J70" s="24"/>
    </row>
    <row r="71" spans="1:10" x14ac:dyDescent="0.3">
      <c r="A71" s="23"/>
      <c r="B71" s="24"/>
      <c r="C71" s="24"/>
      <c r="D71" s="24"/>
      <c r="E71" s="24"/>
      <c r="F71" s="24"/>
      <c r="G71" s="24"/>
      <c r="H71" s="24"/>
      <c r="I71" s="24"/>
      <c r="J71" s="24"/>
    </row>
    <row r="72" spans="1:10" x14ac:dyDescent="0.3">
      <c r="A72" s="23"/>
      <c r="B72" s="24"/>
      <c r="C72" s="24"/>
      <c r="D72" s="24"/>
      <c r="E72" s="24"/>
      <c r="F72" s="24"/>
      <c r="G72" s="24"/>
      <c r="H72" s="24"/>
      <c r="I72" s="24"/>
      <c r="J72" s="24"/>
    </row>
    <row r="73" spans="1:10" x14ac:dyDescent="0.3">
      <c r="A73" s="23"/>
      <c r="B73" s="24"/>
      <c r="C73" s="24"/>
      <c r="D73" s="24"/>
      <c r="E73" s="24"/>
      <c r="F73" s="24"/>
      <c r="G73" s="24"/>
      <c r="H73" s="24"/>
      <c r="I73" s="24"/>
      <c r="J73" s="24"/>
    </row>
    <row r="74" spans="1:10" s="31" customFormat="1" x14ac:dyDescent="0.3"/>
    <row r="75" spans="1:10" s="31" customFormat="1" x14ac:dyDescent="0.3"/>
    <row r="76" spans="1:10" s="31" customFormat="1" x14ac:dyDescent="0.3"/>
    <row r="77" spans="1:10" s="31" customFormat="1" x14ac:dyDescent="0.3"/>
    <row r="78" spans="1:10" s="31" customFormat="1" x14ac:dyDescent="0.3"/>
    <row r="79" spans="1:10" s="31" customFormat="1" x14ac:dyDescent="0.3"/>
    <row r="80" spans="1:10" s="31" customFormat="1" x14ac:dyDescent="0.3"/>
    <row r="81" s="31" customFormat="1" x14ac:dyDescent="0.3"/>
    <row r="82" s="31" customFormat="1" x14ac:dyDescent="0.3"/>
    <row r="83" s="31" customFormat="1" x14ac:dyDescent="0.3"/>
    <row r="84" s="31" customFormat="1" x14ac:dyDescent="0.3"/>
    <row r="85" s="31" customFormat="1" x14ac:dyDescent="0.3"/>
    <row r="86" s="31" customFormat="1" x14ac:dyDescent="0.3"/>
    <row r="87" s="31" customFormat="1" x14ac:dyDescent="0.3"/>
    <row r="88" s="31" customFormat="1" x14ac:dyDescent="0.3"/>
    <row r="89" s="31" customFormat="1" x14ac:dyDescent="0.3"/>
    <row r="90" s="31" customFormat="1" x14ac:dyDescent="0.3"/>
    <row r="91" s="31" customFormat="1" x14ac:dyDescent="0.3"/>
    <row r="92" s="31" customFormat="1" x14ac:dyDescent="0.3"/>
    <row r="93" s="31" customFormat="1" x14ac:dyDescent="0.3"/>
    <row r="94" s="31" customFormat="1" x14ac:dyDescent="0.3"/>
    <row r="95" s="31" customFormat="1" x14ac:dyDescent="0.3"/>
    <row r="96" s="31" customFormat="1" x14ac:dyDescent="0.3"/>
    <row r="97" s="31" customFormat="1" x14ac:dyDescent="0.3"/>
    <row r="98" s="31" customFormat="1" x14ac:dyDescent="0.3"/>
    <row r="99" s="31" customFormat="1" x14ac:dyDescent="0.3"/>
    <row r="100" s="31" customFormat="1" x14ac:dyDescent="0.3"/>
    <row r="101" s="31" customFormat="1" x14ac:dyDescent="0.3"/>
    <row r="102" s="31" customFormat="1" x14ac:dyDescent="0.3"/>
    <row r="103" s="31" customFormat="1" x14ac:dyDescent="0.3"/>
    <row r="104" s="31" customFormat="1" x14ac:dyDescent="0.3"/>
    <row r="105" s="31" customFormat="1" x14ac:dyDescent="0.3"/>
    <row r="106" s="31" customFormat="1" x14ac:dyDescent="0.3"/>
    <row r="107" s="31" customFormat="1" x14ac:dyDescent="0.3"/>
    <row r="108" s="31" customFormat="1" x14ac:dyDescent="0.3"/>
    <row r="109" s="31" customFormat="1" x14ac:dyDescent="0.3"/>
    <row r="110" s="31" customFormat="1" x14ac:dyDescent="0.3"/>
    <row r="111" s="31" customFormat="1" x14ac:dyDescent="0.3"/>
    <row r="112" s="31" customFormat="1" x14ac:dyDescent="0.3"/>
    <row r="113" s="31" customFormat="1" x14ac:dyDescent="0.3"/>
    <row r="114" s="31" customFormat="1" x14ac:dyDescent="0.3"/>
    <row r="115" s="31" customFormat="1" x14ac:dyDescent="0.3"/>
    <row r="116" s="31" customFormat="1" x14ac:dyDescent="0.3"/>
    <row r="117" s="31" customFormat="1" x14ac:dyDescent="0.3"/>
    <row r="118" s="31" customFormat="1" x14ac:dyDescent="0.3"/>
    <row r="119" s="31" customFormat="1" x14ac:dyDescent="0.3"/>
    <row r="120" s="31" customFormat="1" x14ac:dyDescent="0.3"/>
    <row r="121" s="31" customFormat="1" x14ac:dyDescent="0.3"/>
    <row r="122" s="31" customFormat="1" x14ac:dyDescent="0.3"/>
    <row r="123" s="31" customFormat="1" x14ac:dyDescent="0.3"/>
    <row r="124" s="31" customFormat="1" x14ac:dyDescent="0.3"/>
    <row r="125" s="31" customFormat="1" x14ac:dyDescent="0.3"/>
    <row r="126" s="31" customFormat="1" x14ac:dyDescent="0.3"/>
    <row r="127" s="31" customFormat="1" x14ac:dyDescent="0.3"/>
    <row r="128" s="31" customFormat="1" x14ac:dyDescent="0.3"/>
    <row r="129" s="31" customFormat="1" x14ac:dyDescent="0.3"/>
    <row r="130" s="31" customFormat="1" x14ac:dyDescent="0.3"/>
    <row r="131" s="31" customFormat="1" x14ac:dyDescent="0.3"/>
    <row r="132" s="31" customFormat="1" x14ac:dyDescent="0.3"/>
    <row r="133" s="31" customFormat="1" x14ac:dyDescent="0.3"/>
    <row r="134" s="31" customFormat="1" x14ac:dyDescent="0.3"/>
    <row r="135" s="31" customFormat="1" x14ac:dyDescent="0.3"/>
    <row r="136" s="31" customFormat="1" x14ac:dyDescent="0.3"/>
    <row r="137" s="31" customFormat="1" x14ac:dyDescent="0.3"/>
    <row r="138" s="31" customFormat="1" x14ac:dyDescent="0.3"/>
    <row r="139" s="31" customFormat="1" x14ac:dyDescent="0.3"/>
    <row r="140" s="31" customFormat="1" x14ac:dyDescent="0.3"/>
    <row r="141" s="31" customFormat="1" x14ac:dyDescent="0.3"/>
    <row r="142" s="31" customFormat="1" x14ac:dyDescent="0.3"/>
    <row r="143" s="31" customFormat="1" x14ac:dyDescent="0.3"/>
    <row r="144" s="31" customFormat="1" x14ac:dyDescent="0.3"/>
    <row r="145" s="31" customFormat="1" x14ac:dyDescent="0.3"/>
    <row r="146" s="31" customFormat="1" x14ac:dyDescent="0.3"/>
    <row r="147" s="31" customFormat="1" x14ac:dyDescent="0.3"/>
    <row r="148" s="31" customFormat="1" x14ac:dyDescent="0.3"/>
    <row r="149" s="31" customFormat="1" x14ac:dyDescent="0.3"/>
    <row r="150" s="31" customFormat="1" x14ac:dyDescent="0.3"/>
    <row r="151" s="31" customFormat="1" x14ac:dyDescent="0.3"/>
    <row r="152" s="31" customFormat="1" x14ac:dyDescent="0.3"/>
    <row r="153" s="31" customFormat="1" x14ac:dyDescent="0.3"/>
    <row r="154" s="31" customFormat="1" x14ac:dyDescent="0.3"/>
    <row r="155" s="31" customFormat="1" x14ac:dyDescent="0.3"/>
    <row r="156" s="31" customFormat="1" x14ac:dyDescent="0.3"/>
    <row r="157" s="31" customFormat="1" x14ac:dyDescent="0.3"/>
    <row r="158" s="31" customFormat="1" x14ac:dyDescent="0.3"/>
    <row r="159" s="31" customFormat="1" x14ac:dyDescent="0.3"/>
    <row r="160" s="31" customFormat="1" x14ac:dyDescent="0.3"/>
    <row r="161" s="31" customFormat="1" x14ac:dyDescent="0.3"/>
    <row r="162" s="31" customFormat="1" x14ac:dyDescent="0.3"/>
    <row r="163" s="31" customFormat="1" x14ac:dyDescent="0.3"/>
    <row r="164" s="31" customFormat="1" x14ac:dyDescent="0.3"/>
    <row r="165" s="31" customFormat="1" x14ac:dyDescent="0.3"/>
    <row r="166" s="31" customFormat="1" x14ac:dyDescent="0.3"/>
    <row r="167" s="31" customFormat="1" x14ac:dyDescent="0.3"/>
    <row r="168" s="31" customFormat="1" x14ac:dyDescent="0.3"/>
    <row r="169" s="31" customFormat="1" x14ac:dyDescent="0.3"/>
    <row r="170" s="31" customFormat="1" x14ac:dyDescent="0.3"/>
    <row r="171" s="31" customFormat="1" x14ac:dyDescent="0.3"/>
    <row r="172" s="31" customFormat="1" x14ac:dyDescent="0.3"/>
    <row r="173" s="31" customFormat="1" x14ac:dyDescent="0.3"/>
    <row r="174" s="31" customFormat="1" x14ac:dyDescent="0.3"/>
    <row r="175" s="31" customFormat="1" x14ac:dyDescent="0.3"/>
    <row r="176" s="31" customFormat="1" x14ac:dyDescent="0.3"/>
    <row r="177" s="31" customFormat="1" x14ac:dyDescent="0.3"/>
    <row r="178" s="31" customFormat="1" x14ac:dyDescent="0.3"/>
    <row r="179" s="31" customFormat="1" x14ac:dyDescent="0.3"/>
    <row r="180" s="31" customFormat="1" x14ac:dyDescent="0.3"/>
    <row r="181" s="31" customFormat="1" x14ac:dyDescent="0.3"/>
    <row r="182" s="31" customFormat="1" x14ac:dyDescent="0.3"/>
    <row r="183" s="31" customFormat="1" x14ac:dyDescent="0.3"/>
    <row r="184" s="31" customFormat="1" x14ac:dyDescent="0.3"/>
    <row r="185" s="31" customFormat="1" x14ac:dyDescent="0.3"/>
    <row r="186" s="31" customFormat="1" x14ac:dyDescent="0.3"/>
    <row r="187" s="31" customFormat="1" x14ac:dyDescent="0.3"/>
    <row r="188" s="31" customFormat="1" x14ac:dyDescent="0.3"/>
    <row r="189" s="31" customFormat="1" x14ac:dyDescent="0.3"/>
    <row r="190" s="31" customFormat="1" x14ac:dyDescent="0.3"/>
    <row r="191" s="31" customFormat="1" x14ac:dyDescent="0.3"/>
    <row r="192" s="31" customFormat="1" x14ac:dyDescent="0.3"/>
    <row r="193" s="31" customFormat="1" x14ac:dyDescent="0.3"/>
    <row r="194" s="31" customFormat="1" x14ac:dyDescent="0.3"/>
    <row r="195" s="31" customFormat="1" x14ac:dyDescent="0.3"/>
    <row r="196" s="31" customFormat="1" x14ac:dyDescent="0.3"/>
    <row r="197" s="31" customFormat="1" x14ac:dyDescent="0.3"/>
    <row r="198" s="31" customFormat="1" x14ac:dyDescent="0.3"/>
    <row r="199" s="31" customFormat="1" x14ac:dyDescent="0.3"/>
    <row r="200" s="31" customFormat="1" x14ac:dyDescent="0.3"/>
    <row r="201" s="31" customFormat="1" x14ac:dyDescent="0.3"/>
    <row r="202" s="31" customFormat="1" x14ac:dyDescent="0.3"/>
    <row r="203" s="31" customFormat="1" x14ac:dyDescent="0.3"/>
  </sheetData>
  <autoFilter ref="A1:J23">
    <filterColumn colId="9">
      <filters>
        <filter val="YES"/>
      </filters>
    </filterColumn>
  </autoFilter>
  <pageMargins left="0.75" right="0.75" top="1" bottom="1" header="0.5" footer="0.5"/>
  <customProperties>
    <customPr name="KSheetIndex" r:id="rId1"/>
  </customPropertie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dimension ref="A1:J73"/>
  <sheetViews>
    <sheetView workbookViewId="0">
      <selection activeCell="J1" sqref="J1"/>
    </sheetView>
  </sheetViews>
  <sheetFormatPr defaultColWidth="9.109375" defaultRowHeight="14.4" x14ac:dyDescent="0.3"/>
  <cols>
    <col min="1" max="4" width="9.109375" style="17"/>
    <col min="5" max="5" width="41.44140625" style="17" customWidth="1"/>
    <col min="6" max="16384" width="9.109375" style="17"/>
  </cols>
  <sheetData>
    <row r="1" spans="1:10" ht="15" thickBot="1" x14ac:dyDescent="0.35">
      <c r="A1" s="26" t="s">
        <v>3</v>
      </c>
      <c r="B1" s="26" t="s">
        <v>4</v>
      </c>
      <c r="C1" s="26" t="s">
        <v>5</v>
      </c>
      <c r="D1" s="26" t="s">
        <v>6</v>
      </c>
      <c r="E1" s="26" t="s">
        <v>7</v>
      </c>
      <c r="F1" s="26" t="s">
        <v>8</v>
      </c>
      <c r="G1" s="26" t="s">
        <v>99</v>
      </c>
      <c r="H1" s="26" t="s">
        <v>110</v>
      </c>
      <c r="I1" s="26" t="s">
        <v>9</v>
      </c>
      <c r="J1" s="26" t="s">
        <v>106</v>
      </c>
    </row>
    <row r="2" spans="1:10" ht="15" thickTop="1" x14ac:dyDescent="0.3">
      <c r="A2" s="21" t="s">
        <v>10</v>
      </c>
      <c r="B2" s="22" t="s">
        <v>10</v>
      </c>
      <c r="C2" s="22"/>
      <c r="D2" s="22" t="s">
        <v>11</v>
      </c>
      <c r="E2" s="22" t="s">
        <v>104</v>
      </c>
      <c r="F2" s="22" t="s">
        <v>115</v>
      </c>
      <c r="G2" s="22">
        <v>0</v>
      </c>
      <c r="H2" s="22" t="s">
        <v>105</v>
      </c>
      <c r="I2" s="22">
        <v>0</v>
      </c>
      <c r="J2" s="22">
        <v>6</v>
      </c>
    </row>
    <row r="3" spans="1:10" x14ac:dyDescent="0.3">
      <c r="A3" s="23" t="s">
        <v>10</v>
      </c>
      <c r="B3" s="24" t="s">
        <v>10</v>
      </c>
      <c r="C3" s="24"/>
      <c r="D3" s="24" t="s">
        <v>11</v>
      </c>
      <c r="E3" s="24" t="s">
        <v>102</v>
      </c>
      <c r="F3" s="24" t="s">
        <v>116</v>
      </c>
      <c r="G3" s="24">
        <v>0</v>
      </c>
      <c r="H3" s="24" t="s">
        <v>103</v>
      </c>
      <c r="I3" s="24">
        <v>0</v>
      </c>
      <c r="J3" s="24">
        <v>10</v>
      </c>
    </row>
    <row r="4" spans="1:10" x14ac:dyDescent="0.3">
      <c r="A4" s="23" t="s">
        <v>10</v>
      </c>
      <c r="B4" s="24" t="s">
        <v>10</v>
      </c>
      <c r="C4" s="24"/>
      <c r="D4" s="24" t="s">
        <v>11</v>
      </c>
      <c r="E4" s="24" t="s">
        <v>101</v>
      </c>
      <c r="F4" s="24" t="s">
        <v>117</v>
      </c>
      <c r="G4" s="24">
        <v>0</v>
      </c>
      <c r="H4" s="24" t="s">
        <v>118</v>
      </c>
      <c r="I4" s="24">
        <v>0</v>
      </c>
      <c r="J4" s="24">
        <v>10</v>
      </c>
    </row>
    <row r="5" spans="1:10" hidden="1" x14ac:dyDescent="0.3">
      <c r="A5" s="23" t="s">
        <v>10</v>
      </c>
      <c r="B5" s="24" t="s">
        <v>10</v>
      </c>
      <c r="C5" s="24"/>
      <c r="D5" s="24" t="s">
        <v>55</v>
      </c>
      <c r="E5" s="24" t="s">
        <v>56</v>
      </c>
      <c r="F5" s="24" t="s">
        <v>119</v>
      </c>
      <c r="G5" s="24">
        <v>0</v>
      </c>
      <c r="H5" s="24" t="s">
        <v>57</v>
      </c>
      <c r="I5" s="24">
        <v>0</v>
      </c>
      <c r="J5" s="24">
        <v>3</v>
      </c>
    </row>
    <row r="6" spans="1:10" hidden="1" x14ac:dyDescent="0.3">
      <c r="A6" s="23" t="s">
        <v>10</v>
      </c>
      <c r="B6" s="24" t="s">
        <v>10</v>
      </c>
      <c r="C6" s="24"/>
      <c r="D6" s="24" t="s">
        <v>53</v>
      </c>
      <c r="E6" s="24" t="s">
        <v>54</v>
      </c>
      <c r="F6" s="24" t="s">
        <v>120</v>
      </c>
      <c r="G6" s="24">
        <v>0</v>
      </c>
      <c r="H6" s="24" t="s">
        <v>52</v>
      </c>
      <c r="I6" s="24">
        <v>0</v>
      </c>
      <c r="J6" s="24">
        <v>3</v>
      </c>
    </row>
    <row r="7" spans="1:10" hidden="1" x14ac:dyDescent="0.3">
      <c r="A7" s="23" t="s">
        <v>10</v>
      </c>
      <c r="B7" s="24" t="s">
        <v>10</v>
      </c>
      <c r="C7" s="24"/>
      <c r="D7" s="24" t="s">
        <v>50</v>
      </c>
      <c r="E7" s="24" t="s">
        <v>51</v>
      </c>
      <c r="F7" s="24" t="s">
        <v>121</v>
      </c>
      <c r="G7" s="24">
        <v>0</v>
      </c>
      <c r="H7" s="24" t="s">
        <v>47</v>
      </c>
      <c r="I7" s="24">
        <v>0</v>
      </c>
      <c r="J7" s="24">
        <v>3</v>
      </c>
    </row>
    <row r="8" spans="1:10" hidden="1" x14ac:dyDescent="0.3">
      <c r="A8" s="23" t="s">
        <v>122</v>
      </c>
      <c r="B8" s="24" t="s">
        <v>123</v>
      </c>
      <c r="C8" s="24"/>
      <c r="D8" s="24" t="s">
        <v>35</v>
      </c>
      <c r="E8" s="24" t="s">
        <v>45</v>
      </c>
      <c r="F8" s="24" t="s">
        <v>46</v>
      </c>
      <c r="G8" s="24">
        <v>0</v>
      </c>
      <c r="H8" s="24" t="s">
        <v>47</v>
      </c>
      <c r="I8" s="24">
        <v>3</v>
      </c>
      <c r="J8" s="24">
        <v>2</v>
      </c>
    </row>
    <row r="9" spans="1:10" hidden="1" x14ac:dyDescent="0.3">
      <c r="A9" s="23" t="s">
        <v>122</v>
      </c>
      <c r="B9" s="24" t="s">
        <v>123</v>
      </c>
      <c r="C9" s="24"/>
      <c r="D9" s="24" t="s">
        <v>35</v>
      </c>
      <c r="E9" s="24" t="s">
        <v>43</v>
      </c>
      <c r="F9" s="24" t="s">
        <v>124</v>
      </c>
      <c r="G9" s="24">
        <v>0</v>
      </c>
      <c r="H9" s="24" t="s">
        <v>44</v>
      </c>
      <c r="I9" s="24">
        <v>1</v>
      </c>
      <c r="J9" s="24">
        <v>1</v>
      </c>
    </row>
    <row r="10" spans="1:10" hidden="1" x14ac:dyDescent="0.3">
      <c r="A10" s="23" t="s">
        <v>125</v>
      </c>
      <c r="B10" s="24" t="s">
        <v>126</v>
      </c>
      <c r="C10" s="24"/>
      <c r="D10" s="24" t="s">
        <v>35</v>
      </c>
      <c r="E10" s="24" t="s">
        <v>41</v>
      </c>
      <c r="F10" s="24" t="s">
        <v>127</v>
      </c>
      <c r="G10" s="24">
        <v>0</v>
      </c>
      <c r="H10" s="24" t="s">
        <v>42</v>
      </c>
      <c r="I10" s="24">
        <v>0</v>
      </c>
      <c r="J10" s="24">
        <v>1</v>
      </c>
    </row>
    <row r="11" spans="1:10" hidden="1" x14ac:dyDescent="0.3">
      <c r="A11" s="23" t="s">
        <v>125</v>
      </c>
      <c r="B11" s="24" t="s">
        <v>10</v>
      </c>
      <c r="C11" s="24"/>
      <c r="D11" s="24" t="s">
        <v>35</v>
      </c>
      <c r="E11" s="24" t="s">
        <v>37</v>
      </c>
      <c r="F11" s="24" t="s">
        <v>128</v>
      </c>
      <c r="G11" s="24">
        <v>0</v>
      </c>
      <c r="H11" s="24" t="s">
        <v>38</v>
      </c>
      <c r="I11" s="24">
        <v>0</v>
      </c>
      <c r="J11" s="24">
        <v>4</v>
      </c>
    </row>
    <row r="12" spans="1:10" hidden="1" x14ac:dyDescent="0.3">
      <c r="A12" s="23" t="s">
        <v>129</v>
      </c>
      <c r="B12" s="24" t="s">
        <v>130</v>
      </c>
      <c r="C12" s="24"/>
      <c r="D12" s="24" t="s">
        <v>35</v>
      </c>
      <c r="E12" s="24" t="s">
        <v>36</v>
      </c>
      <c r="F12" s="24" t="s">
        <v>131</v>
      </c>
      <c r="G12" s="24">
        <v>0</v>
      </c>
      <c r="H12" s="24" t="s">
        <v>132</v>
      </c>
      <c r="I12" s="24">
        <v>0</v>
      </c>
      <c r="J12" s="24">
        <v>2</v>
      </c>
    </row>
    <row r="13" spans="1:10" hidden="1" x14ac:dyDescent="0.3">
      <c r="A13" s="23" t="s">
        <v>129</v>
      </c>
      <c r="B13" s="24" t="s">
        <v>10</v>
      </c>
      <c r="C13" s="24"/>
      <c r="D13" s="24" t="s">
        <v>17</v>
      </c>
      <c r="E13" s="24" t="s">
        <v>33</v>
      </c>
      <c r="F13" s="24" t="s">
        <v>133</v>
      </c>
      <c r="G13" s="24">
        <v>0</v>
      </c>
      <c r="H13" s="24" t="s">
        <v>34</v>
      </c>
      <c r="I13" s="24">
        <v>1</v>
      </c>
      <c r="J13" s="24">
        <v>4</v>
      </c>
    </row>
    <row r="14" spans="1:10" x14ac:dyDescent="0.3">
      <c r="A14" s="23" t="s">
        <v>129</v>
      </c>
      <c r="B14" s="24" t="s">
        <v>10</v>
      </c>
      <c r="C14" s="24"/>
      <c r="D14" s="24" t="s">
        <v>17</v>
      </c>
      <c r="E14" s="24" t="s">
        <v>31</v>
      </c>
      <c r="F14" s="24" t="s">
        <v>134</v>
      </c>
      <c r="G14" s="24">
        <v>2</v>
      </c>
      <c r="H14" s="24" t="s">
        <v>32</v>
      </c>
      <c r="I14" s="24">
        <v>0</v>
      </c>
      <c r="J14" s="24">
        <v>6</v>
      </c>
    </row>
    <row r="15" spans="1:10" hidden="1" x14ac:dyDescent="0.3">
      <c r="A15" s="23" t="s">
        <v>129</v>
      </c>
      <c r="B15" s="24" t="s">
        <v>10</v>
      </c>
      <c r="C15" s="24"/>
      <c r="D15" s="24" t="s">
        <v>17</v>
      </c>
      <c r="E15" s="24" t="s">
        <v>29</v>
      </c>
      <c r="F15" s="24" t="s">
        <v>135</v>
      </c>
      <c r="G15" s="24">
        <v>0</v>
      </c>
      <c r="H15" s="24" t="s">
        <v>30</v>
      </c>
      <c r="I15" s="24">
        <v>0</v>
      </c>
      <c r="J15" s="24">
        <v>3</v>
      </c>
    </row>
    <row r="16" spans="1:10" hidden="1" x14ac:dyDescent="0.3">
      <c r="A16" s="23" t="s">
        <v>136</v>
      </c>
      <c r="B16" s="24" t="s">
        <v>137</v>
      </c>
      <c r="C16" s="24"/>
      <c r="D16" s="24" t="s">
        <v>21</v>
      </c>
      <c r="E16" s="24" t="s">
        <v>27</v>
      </c>
      <c r="F16" s="24" t="s">
        <v>138</v>
      </c>
      <c r="G16" s="24">
        <v>0</v>
      </c>
      <c r="H16" s="24" t="s">
        <v>28</v>
      </c>
      <c r="I16" s="24">
        <v>0</v>
      </c>
      <c r="J16" s="24">
        <v>2</v>
      </c>
    </row>
    <row r="17" spans="1:10" hidden="1" x14ac:dyDescent="0.3">
      <c r="A17" s="23" t="s">
        <v>136</v>
      </c>
      <c r="B17" s="24" t="s">
        <v>10</v>
      </c>
      <c r="C17" s="24"/>
      <c r="D17" s="24" t="s">
        <v>21</v>
      </c>
      <c r="E17" s="24" t="s">
        <v>25</v>
      </c>
      <c r="F17" s="24" t="s">
        <v>139</v>
      </c>
      <c r="G17" s="24">
        <v>0</v>
      </c>
      <c r="H17" s="24" t="s">
        <v>26</v>
      </c>
      <c r="I17" s="24">
        <v>0</v>
      </c>
      <c r="J17" s="24">
        <v>2</v>
      </c>
    </row>
    <row r="18" spans="1:10" hidden="1" x14ac:dyDescent="0.3">
      <c r="A18" s="23" t="s">
        <v>136</v>
      </c>
      <c r="B18" s="24" t="s">
        <v>10</v>
      </c>
      <c r="C18" s="24"/>
      <c r="D18" s="24" t="s">
        <v>21</v>
      </c>
      <c r="E18" s="24" t="s">
        <v>23</v>
      </c>
      <c r="F18" s="24" t="s">
        <v>140</v>
      </c>
      <c r="G18" s="24">
        <v>2</v>
      </c>
      <c r="H18" s="24" t="s">
        <v>24</v>
      </c>
      <c r="I18" s="24">
        <v>1</v>
      </c>
      <c r="J18" s="24">
        <v>4</v>
      </c>
    </row>
    <row r="19" spans="1:10" hidden="1" x14ac:dyDescent="0.3">
      <c r="A19" s="23" t="s">
        <v>136</v>
      </c>
      <c r="B19" s="24" t="s">
        <v>10</v>
      </c>
      <c r="C19" s="24"/>
      <c r="D19" s="24" t="s">
        <v>21</v>
      </c>
      <c r="E19" s="24" t="s">
        <v>22</v>
      </c>
      <c r="F19" s="24" t="s">
        <v>141</v>
      </c>
      <c r="G19" s="24">
        <v>2</v>
      </c>
      <c r="H19" s="24" t="s">
        <v>142</v>
      </c>
      <c r="I19" s="24">
        <v>1</v>
      </c>
      <c r="J19" s="24">
        <v>4</v>
      </c>
    </row>
    <row r="20" spans="1:10" hidden="1" x14ac:dyDescent="0.3">
      <c r="A20" s="23" t="s">
        <v>136</v>
      </c>
      <c r="B20" s="24" t="s">
        <v>10</v>
      </c>
      <c r="C20" s="24"/>
      <c r="D20" s="24" t="s">
        <v>14</v>
      </c>
      <c r="E20" s="24" t="s">
        <v>19</v>
      </c>
      <c r="F20" s="24" t="s">
        <v>143</v>
      </c>
      <c r="G20" s="24">
        <v>0</v>
      </c>
      <c r="H20" s="24" t="s">
        <v>20</v>
      </c>
      <c r="I20" s="24">
        <v>1</v>
      </c>
      <c r="J20" s="24">
        <v>2</v>
      </c>
    </row>
    <row r="21" spans="1:10" hidden="1" x14ac:dyDescent="0.3">
      <c r="A21" s="23" t="s">
        <v>136</v>
      </c>
      <c r="B21" s="24" t="s">
        <v>10</v>
      </c>
      <c r="C21" s="24"/>
      <c r="D21" s="24" t="s">
        <v>17</v>
      </c>
      <c r="E21" s="24" t="s">
        <v>18</v>
      </c>
      <c r="F21" s="24" t="s">
        <v>144</v>
      </c>
      <c r="G21" s="24">
        <v>0</v>
      </c>
      <c r="H21" s="24" t="s">
        <v>145</v>
      </c>
      <c r="I21" s="24">
        <v>0</v>
      </c>
      <c r="J21" s="24">
        <v>3</v>
      </c>
    </row>
    <row r="22" spans="1:10" hidden="1" x14ac:dyDescent="0.3">
      <c r="A22" s="23" t="s">
        <v>136</v>
      </c>
      <c r="B22" s="24" t="s">
        <v>12</v>
      </c>
      <c r="C22" s="24"/>
      <c r="D22" s="24" t="s">
        <v>14</v>
      </c>
      <c r="E22" s="24" t="s">
        <v>15</v>
      </c>
      <c r="F22" s="24" t="s">
        <v>146</v>
      </c>
      <c r="G22" s="24">
        <v>0</v>
      </c>
      <c r="H22" s="24" t="s">
        <v>16</v>
      </c>
      <c r="I22" s="24">
        <v>0</v>
      </c>
      <c r="J22" s="24">
        <v>2</v>
      </c>
    </row>
    <row r="23" spans="1:10" hidden="1" x14ac:dyDescent="0.3">
      <c r="A23" s="23" t="s">
        <v>136</v>
      </c>
      <c r="B23" s="24" t="s">
        <v>10</v>
      </c>
      <c r="C23" s="24"/>
      <c r="D23" s="24" t="s">
        <v>12</v>
      </c>
      <c r="E23" s="24" t="s">
        <v>13</v>
      </c>
      <c r="F23" s="24" t="s">
        <v>147</v>
      </c>
      <c r="G23" s="24">
        <v>0</v>
      </c>
      <c r="H23" s="24" t="s">
        <v>148</v>
      </c>
      <c r="I23" s="24">
        <v>1</v>
      </c>
      <c r="J23" s="24">
        <v>2</v>
      </c>
    </row>
    <row r="24" spans="1:10" x14ac:dyDescent="0.3">
      <c r="A24" s="23"/>
      <c r="B24" s="24"/>
      <c r="C24" s="24"/>
      <c r="D24" s="24"/>
      <c r="E24" s="24"/>
      <c r="F24" s="24"/>
      <c r="G24" s="24"/>
      <c r="H24" s="24"/>
      <c r="I24" s="24"/>
      <c r="J24" s="24"/>
    </row>
    <row r="25" spans="1:10" x14ac:dyDescent="0.3">
      <c r="A25" s="23"/>
      <c r="B25" s="24"/>
      <c r="C25" s="24"/>
      <c r="D25" s="24"/>
      <c r="E25" s="24"/>
      <c r="F25" s="24"/>
      <c r="G25" s="24"/>
      <c r="H25" s="24"/>
      <c r="I25" s="24"/>
      <c r="J25" s="24"/>
    </row>
    <row r="26" spans="1:10" x14ac:dyDescent="0.3">
      <c r="A26" s="23"/>
      <c r="B26" s="24"/>
      <c r="C26" s="24"/>
      <c r="D26" s="24"/>
      <c r="E26" s="24"/>
      <c r="F26" s="24"/>
      <c r="G26" s="24"/>
      <c r="H26" s="24"/>
      <c r="I26" s="24"/>
      <c r="J26" s="24"/>
    </row>
    <row r="27" spans="1:10" x14ac:dyDescent="0.3">
      <c r="A27" s="23"/>
      <c r="B27" s="24"/>
      <c r="C27" s="24"/>
      <c r="D27" s="24"/>
      <c r="E27" s="24"/>
      <c r="F27" s="24"/>
      <c r="G27" s="24"/>
      <c r="H27" s="24"/>
      <c r="I27" s="24"/>
      <c r="J27" s="24"/>
    </row>
    <row r="28" spans="1:10" x14ac:dyDescent="0.3">
      <c r="A28" s="23"/>
      <c r="B28" s="24"/>
      <c r="C28" s="24"/>
      <c r="D28" s="24"/>
      <c r="E28" s="24"/>
      <c r="F28" s="24"/>
      <c r="G28" s="24"/>
      <c r="H28" s="24"/>
      <c r="I28" s="24"/>
      <c r="J28" s="24"/>
    </row>
    <row r="29" spans="1:10" x14ac:dyDescent="0.3">
      <c r="A29" s="23"/>
      <c r="B29" s="24"/>
      <c r="C29" s="24"/>
      <c r="D29" s="24"/>
      <c r="E29" s="24"/>
      <c r="F29" s="24"/>
      <c r="G29" s="24"/>
      <c r="H29" s="24"/>
      <c r="I29" s="24"/>
      <c r="J29" s="24"/>
    </row>
    <row r="30" spans="1:10" x14ac:dyDescent="0.3">
      <c r="A30" s="23"/>
      <c r="B30" s="24"/>
      <c r="C30" s="24"/>
      <c r="D30" s="24"/>
      <c r="E30" s="24"/>
      <c r="F30" s="24"/>
      <c r="G30" s="24"/>
      <c r="H30" s="24"/>
      <c r="I30" s="24"/>
      <c r="J30" s="24"/>
    </row>
    <row r="31" spans="1:10" x14ac:dyDescent="0.3">
      <c r="A31" s="23"/>
      <c r="B31" s="24"/>
      <c r="C31" s="24"/>
      <c r="D31" s="24"/>
      <c r="E31" s="24"/>
      <c r="F31" s="24"/>
      <c r="G31" s="24"/>
      <c r="H31" s="24"/>
      <c r="I31" s="24"/>
      <c r="J31" s="24"/>
    </row>
    <row r="32" spans="1:10" x14ac:dyDescent="0.3">
      <c r="A32" s="23"/>
      <c r="B32" s="24"/>
      <c r="C32" s="24"/>
      <c r="D32" s="24"/>
      <c r="E32" s="24"/>
      <c r="F32" s="24"/>
      <c r="G32" s="24"/>
      <c r="H32" s="24"/>
      <c r="I32" s="24"/>
      <c r="J32" s="24"/>
    </row>
    <row r="33" spans="1:10" x14ac:dyDescent="0.3">
      <c r="A33" s="23"/>
      <c r="B33" s="24"/>
      <c r="C33" s="24"/>
      <c r="D33" s="24"/>
      <c r="E33" s="24"/>
      <c r="F33" s="24"/>
      <c r="G33" s="24"/>
      <c r="H33" s="24"/>
      <c r="I33" s="24"/>
      <c r="J33" s="24"/>
    </row>
    <row r="34" spans="1:10" x14ac:dyDescent="0.3">
      <c r="A34" s="23"/>
      <c r="B34" s="24"/>
      <c r="C34" s="24"/>
      <c r="D34" s="24"/>
      <c r="E34" s="24"/>
      <c r="F34" s="24"/>
      <c r="G34" s="24"/>
      <c r="H34" s="24"/>
      <c r="I34" s="24"/>
      <c r="J34" s="24"/>
    </row>
    <row r="35" spans="1:10" x14ac:dyDescent="0.3">
      <c r="A35" s="23"/>
      <c r="B35" s="24"/>
      <c r="C35" s="24"/>
      <c r="D35" s="24"/>
      <c r="E35" s="24"/>
      <c r="F35" s="24"/>
      <c r="G35" s="24"/>
      <c r="H35" s="24"/>
      <c r="I35" s="24"/>
      <c r="J35" s="24"/>
    </row>
    <row r="36" spans="1:10" x14ac:dyDescent="0.3">
      <c r="A36" s="23"/>
      <c r="B36" s="24"/>
      <c r="C36" s="24"/>
      <c r="D36" s="24"/>
      <c r="E36" s="24"/>
      <c r="F36" s="24"/>
      <c r="G36" s="24"/>
      <c r="H36" s="24"/>
      <c r="I36" s="24"/>
      <c r="J36" s="24"/>
    </row>
    <row r="37" spans="1:10" x14ac:dyDescent="0.3">
      <c r="A37" s="23"/>
      <c r="B37" s="24"/>
      <c r="C37" s="24"/>
      <c r="D37" s="24"/>
      <c r="E37" s="24"/>
      <c r="F37" s="24"/>
      <c r="G37" s="24"/>
      <c r="H37" s="24"/>
      <c r="I37" s="24"/>
      <c r="J37" s="24"/>
    </row>
    <row r="38" spans="1:10" x14ac:dyDescent="0.3">
      <c r="A38" s="23"/>
      <c r="B38" s="24"/>
      <c r="C38" s="24"/>
      <c r="D38" s="24"/>
      <c r="E38" s="24"/>
      <c r="F38" s="24"/>
      <c r="G38" s="24"/>
      <c r="H38" s="24"/>
      <c r="I38" s="24"/>
      <c r="J38" s="24"/>
    </row>
    <row r="39" spans="1:10" x14ac:dyDescent="0.3">
      <c r="A39" s="23"/>
      <c r="B39" s="24"/>
      <c r="C39" s="24"/>
      <c r="D39" s="24"/>
      <c r="E39" s="24"/>
      <c r="F39" s="24"/>
      <c r="G39" s="24"/>
      <c r="H39" s="24"/>
      <c r="I39" s="24"/>
      <c r="J39" s="24"/>
    </row>
    <row r="40" spans="1:10" x14ac:dyDescent="0.3">
      <c r="A40" s="23"/>
      <c r="B40" s="24"/>
      <c r="C40" s="24"/>
      <c r="D40" s="24"/>
      <c r="E40" s="24"/>
      <c r="F40" s="24"/>
      <c r="G40" s="24"/>
      <c r="H40" s="24"/>
      <c r="I40" s="24"/>
      <c r="J40" s="24"/>
    </row>
    <row r="41" spans="1:10" x14ac:dyDescent="0.3">
      <c r="A41" s="23"/>
      <c r="B41" s="24"/>
      <c r="C41" s="24"/>
      <c r="D41" s="24"/>
      <c r="E41" s="24"/>
      <c r="F41" s="24"/>
      <c r="G41" s="24"/>
      <c r="H41" s="24"/>
      <c r="I41" s="24"/>
      <c r="J41" s="24"/>
    </row>
    <row r="42" spans="1:10" x14ac:dyDescent="0.3">
      <c r="A42" s="23"/>
      <c r="B42" s="24"/>
      <c r="C42" s="24"/>
      <c r="D42" s="24"/>
      <c r="E42" s="24"/>
      <c r="F42" s="24"/>
      <c r="G42" s="24"/>
      <c r="H42" s="24"/>
      <c r="I42" s="24"/>
      <c r="J42" s="24"/>
    </row>
    <row r="43" spans="1:10" x14ac:dyDescent="0.3">
      <c r="A43" s="23"/>
      <c r="B43" s="24"/>
      <c r="C43" s="24"/>
      <c r="D43" s="24"/>
      <c r="E43" s="24"/>
      <c r="F43" s="24"/>
      <c r="G43" s="24"/>
      <c r="H43" s="24"/>
      <c r="I43" s="24"/>
      <c r="J43" s="24"/>
    </row>
    <row r="44" spans="1:10" x14ac:dyDescent="0.3">
      <c r="A44" s="23"/>
      <c r="B44" s="24"/>
      <c r="C44" s="24"/>
      <c r="D44" s="24"/>
      <c r="E44" s="24"/>
      <c r="F44" s="24"/>
      <c r="G44" s="24"/>
      <c r="H44" s="24"/>
      <c r="I44" s="24"/>
      <c r="J44" s="24"/>
    </row>
    <row r="45" spans="1:10" x14ac:dyDescent="0.3">
      <c r="A45" s="23"/>
      <c r="B45" s="24"/>
      <c r="C45" s="24"/>
      <c r="D45" s="24"/>
      <c r="E45" s="24"/>
      <c r="F45" s="24"/>
      <c r="G45" s="24"/>
      <c r="H45" s="24"/>
      <c r="I45" s="24"/>
      <c r="J45" s="24"/>
    </row>
    <row r="46" spans="1:10" x14ac:dyDescent="0.3">
      <c r="A46" s="23"/>
      <c r="B46" s="24"/>
      <c r="C46" s="24"/>
      <c r="D46" s="24"/>
      <c r="E46" s="24"/>
      <c r="F46" s="24"/>
      <c r="G46" s="24"/>
      <c r="H46" s="24"/>
      <c r="I46" s="24"/>
      <c r="J46" s="24"/>
    </row>
    <row r="47" spans="1:10" x14ac:dyDescent="0.3">
      <c r="A47" s="23"/>
      <c r="B47" s="24"/>
      <c r="C47" s="24"/>
      <c r="D47" s="24"/>
      <c r="E47" s="24"/>
      <c r="F47" s="24"/>
      <c r="G47" s="24"/>
      <c r="H47" s="24"/>
      <c r="I47" s="24"/>
      <c r="J47" s="24"/>
    </row>
    <row r="48" spans="1:10" x14ac:dyDescent="0.3">
      <c r="A48" s="23"/>
      <c r="B48" s="24"/>
      <c r="C48" s="24"/>
      <c r="D48" s="24"/>
      <c r="E48" s="24"/>
      <c r="F48" s="24"/>
      <c r="G48" s="24"/>
      <c r="H48" s="24"/>
      <c r="I48" s="24"/>
      <c r="J48" s="24"/>
    </row>
    <row r="49" spans="1:10" x14ac:dyDescent="0.3">
      <c r="A49" s="23"/>
      <c r="B49" s="24"/>
      <c r="C49" s="24"/>
      <c r="D49" s="24"/>
      <c r="E49" s="24"/>
      <c r="F49" s="24"/>
      <c r="G49" s="24"/>
      <c r="H49" s="24"/>
      <c r="I49" s="24"/>
      <c r="J49" s="24"/>
    </row>
    <row r="50" spans="1:10" x14ac:dyDescent="0.3">
      <c r="A50" s="23"/>
      <c r="B50" s="24"/>
      <c r="C50" s="24"/>
      <c r="D50" s="24"/>
      <c r="E50" s="24"/>
      <c r="F50" s="24"/>
      <c r="G50" s="24"/>
      <c r="H50" s="24"/>
      <c r="I50" s="24"/>
      <c r="J50" s="24"/>
    </row>
    <row r="51" spans="1:10" x14ac:dyDescent="0.3">
      <c r="A51" s="23"/>
      <c r="B51" s="24"/>
      <c r="C51" s="24"/>
      <c r="D51" s="24"/>
      <c r="E51" s="24"/>
      <c r="F51" s="24"/>
      <c r="G51" s="24"/>
      <c r="H51" s="24"/>
      <c r="I51" s="24"/>
      <c r="J51" s="24"/>
    </row>
    <row r="52" spans="1:10" x14ac:dyDescent="0.3">
      <c r="A52" s="23"/>
      <c r="B52" s="24"/>
      <c r="C52" s="24"/>
      <c r="D52" s="24"/>
      <c r="E52" s="24"/>
      <c r="F52" s="24"/>
      <c r="G52" s="24"/>
      <c r="H52" s="24"/>
      <c r="I52" s="24"/>
      <c r="J52" s="24"/>
    </row>
    <row r="53" spans="1:10" x14ac:dyDescent="0.3">
      <c r="A53" s="23"/>
      <c r="B53" s="24"/>
      <c r="C53" s="24"/>
      <c r="D53" s="24"/>
      <c r="E53" s="24"/>
      <c r="F53" s="24"/>
      <c r="G53" s="24"/>
      <c r="H53" s="24"/>
      <c r="I53" s="24"/>
      <c r="J53" s="24"/>
    </row>
    <row r="54" spans="1:10" x14ac:dyDescent="0.3">
      <c r="A54" s="23"/>
      <c r="B54" s="24"/>
      <c r="C54" s="24"/>
      <c r="D54" s="24"/>
      <c r="E54" s="24"/>
      <c r="F54" s="24"/>
      <c r="G54" s="24"/>
      <c r="H54" s="24"/>
      <c r="I54" s="24"/>
      <c r="J54" s="24"/>
    </row>
    <row r="55" spans="1:10" x14ac:dyDescent="0.3">
      <c r="A55" s="23"/>
      <c r="B55" s="24"/>
      <c r="C55" s="24"/>
      <c r="D55" s="24"/>
      <c r="E55" s="24"/>
      <c r="F55" s="24"/>
      <c r="G55" s="24"/>
      <c r="H55" s="24"/>
      <c r="I55" s="24"/>
      <c r="J55" s="24"/>
    </row>
    <row r="56" spans="1:10" x14ac:dyDescent="0.3">
      <c r="A56" s="23"/>
      <c r="B56" s="24"/>
      <c r="C56" s="24"/>
      <c r="D56" s="24"/>
      <c r="E56" s="24"/>
      <c r="F56" s="24"/>
      <c r="G56" s="24"/>
      <c r="H56" s="24"/>
      <c r="I56" s="24"/>
      <c r="J56" s="24"/>
    </row>
    <row r="57" spans="1:10" x14ac:dyDescent="0.3">
      <c r="A57" s="23"/>
      <c r="B57" s="24"/>
      <c r="C57" s="24"/>
      <c r="D57" s="24"/>
      <c r="E57" s="24"/>
      <c r="F57" s="24"/>
      <c r="G57" s="24"/>
      <c r="H57" s="24"/>
      <c r="I57" s="24"/>
      <c r="J57" s="24"/>
    </row>
    <row r="58" spans="1:10" x14ac:dyDescent="0.3">
      <c r="A58" s="23"/>
      <c r="B58" s="24"/>
      <c r="C58" s="24"/>
      <c r="D58" s="24"/>
      <c r="E58" s="24"/>
      <c r="F58" s="24"/>
      <c r="G58" s="24"/>
      <c r="H58" s="24"/>
      <c r="I58" s="24"/>
      <c r="J58" s="24"/>
    </row>
    <row r="59" spans="1:10" x14ac:dyDescent="0.3">
      <c r="A59" s="23"/>
      <c r="B59" s="24"/>
      <c r="C59" s="24"/>
      <c r="D59" s="24"/>
      <c r="E59" s="24"/>
      <c r="F59" s="24"/>
      <c r="G59" s="24"/>
      <c r="H59" s="24"/>
      <c r="I59" s="24"/>
      <c r="J59" s="24"/>
    </row>
    <row r="60" spans="1:10" x14ac:dyDescent="0.3">
      <c r="A60" s="23"/>
      <c r="B60" s="24"/>
      <c r="C60" s="24"/>
      <c r="D60" s="24"/>
      <c r="E60" s="24"/>
      <c r="F60" s="24"/>
      <c r="G60" s="24"/>
      <c r="H60" s="24"/>
      <c r="I60" s="24"/>
      <c r="J60" s="24"/>
    </row>
    <row r="61" spans="1:10" x14ac:dyDescent="0.3">
      <c r="A61" s="23"/>
      <c r="B61" s="24"/>
      <c r="C61" s="24"/>
      <c r="D61" s="24"/>
      <c r="E61" s="24"/>
      <c r="F61" s="24"/>
      <c r="G61" s="24"/>
      <c r="H61" s="24"/>
      <c r="I61" s="24"/>
      <c r="J61" s="24"/>
    </row>
    <row r="62" spans="1:10" x14ac:dyDescent="0.3">
      <c r="A62" s="23"/>
      <c r="B62" s="24"/>
      <c r="C62" s="24"/>
      <c r="D62" s="24"/>
      <c r="E62" s="24"/>
      <c r="F62" s="24"/>
      <c r="G62" s="24"/>
      <c r="H62" s="24"/>
      <c r="I62" s="24"/>
      <c r="J62" s="24"/>
    </row>
    <row r="63" spans="1:10" x14ac:dyDescent="0.3">
      <c r="A63" s="23"/>
      <c r="B63" s="24"/>
      <c r="C63" s="24"/>
      <c r="D63" s="24"/>
      <c r="E63" s="24"/>
      <c r="F63" s="24"/>
      <c r="G63" s="24"/>
      <c r="H63" s="24"/>
      <c r="I63" s="24"/>
      <c r="J63" s="24"/>
    </row>
    <row r="64" spans="1:10" x14ac:dyDescent="0.3">
      <c r="A64" s="23"/>
      <c r="B64" s="24"/>
      <c r="C64" s="24"/>
      <c r="D64" s="24"/>
      <c r="E64" s="24"/>
      <c r="F64" s="24"/>
      <c r="G64" s="24"/>
      <c r="H64" s="24"/>
      <c r="I64" s="24"/>
      <c r="J64" s="24"/>
    </row>
    <row r="65" spans="1:10" x14ac:dyDescent="0.3">
      <c r="A65" s="23"/>
      <c r="B65" s="24"/>
      <c r="C65" s="24"/>
      <c r="D65" s="24"/>
      <c r="E65" s="24"/>
      <c r="F65" s="24"/>
      <c r="G65" s="24"/>
      <c r="H65" s="24"/>
      <c r="I65" s="24"/>
      <c r="J65" s="24"/>
    </row>
    <row r="66" spans="1:10" x14ac:dyDescent="0.3">
      <c r="A66" s="23"/>
      <c r="B66" s="24"/>
      <c r="C66" s="24"/>
      <c r="D66" s="24"/>
      <c r="E66" s="24"/>
      <c r="F66" s="24"/>
      <c r="G66" s="24"/>
      <c r="H66" s="24"/>
      <c r="I66" s="24"/>
      <c r="J66" s="24"/>
    </row>
    <row r="67" spans="1:10" x14ac:dyDescent="0.3">
      <c r="A67" s="23"/>
      <c r="B67" s="24"/>
      <c r="C67" s="24"/>
      <c r="D67" s="24"/>
      <c r="E67" s="24"/>
      <c r="F67" s="24"/>
      <c r="G67" s="24"/>
      <c r="H67" s="24"/>
      <c r="I67" s="24"/>
      <c r="J67" s="24"/>
    </row>
    <row r="68" spans="1:10" x14ac:dyDescent="0.3">
      <c r="A68" s="23"/>
      <c r="B68" s="24"/>
      <c r="C68" s="24"/>
      <c r="D68" s="24"/>
      <c r="E68" s="24"/>
      <c r="F68" s="24"/>
      <c r="G68" s="24"/>
      <c r="H68" s="24"/>
      <c r="I68" s="24"/>
      <c r="J68" s="24"/>
    </row>
    <row r="69" spans="1:10" x14ac:dyDescent="0.3">
      <c r="A69" s="23"/>
      <c r="B69" s="24"/>
      <c r="C69" s="24"/>
      <c r="D69" s="24"/>
      <c r="E69" s="24"/>
      <c r="F69" s="24"/>
      <c r="G69" s="24"/>
      <c r="H69" s="24"/>
      <c r="I69" s="24"/>
      <c r="J69" s="24"/>
    </row>
    <row r="70" spans="1:10" x14ac:dyDescent="0.3">
      <c r="A70" s="23"/>
      <c r="B70" s="24"/>
      <c r="C70" s="24"/>
      <c r="D70" s="24"/>
      <c r="E70" s="24"/>
      <c r="F70" s="24"/>
      <c r="G70" s="24"/>
      <c r="H70" s="24"/>
      <c r="I70" s="24"/>
      <c r="J70" s="24"/>
    </row>
    <row r="71" spans="1:10" x14ac:dyDescent="0.3">
      <c r="A71" s="23"/>
      <c r="B71" s="24"/>
      <c r="C71" s="24"/>
      <c r="D71" s="24"/>
      <c r="E71" s="24"/>
      <c r="F71" s="24"/>
      <c r="G71" s="24"/>
      <c r="H71" s="24"/>
      <c r="I71" s="24"/>
      <c r="J71" s="24"/>
    </row>
    <row r="72" spans="1:10" x14ac:dyDescent="0.3">
      <c r="A72" s="23"/>
      <c r="B72" s="24"/>
      <c r="C72" s="24"/>
      <c r="D72" s="24"/>
      <c r="E72" s="24"/>
      <c r="F72" s="24"/>
      <c r="G72" s="24"/>
      <c r="H72" s="24"/>
      <c r="I72" s="24"/>
      <c r="J72" s="24"/>
    </row>
    <row r="73" spans="1:10" x14ac:dyDescent="0.3">
      <c r="A73" s="23"/>
      <c r="B73" s="24"/>
      <c r="C73" s="24"/>
      <c r="D73" s="24"/>
      <c r="E73" s="24"/>
      <c r="F73" s="24"/>
      <c r="G73" s="24"/>
      <c r="H73" s="24"/>
      <c r="I73" s="24"/>
      <c r="J73" s="24"/>
    </row>
  </sheetData>
  <autoFilter ref="A1:J23">
    <filterColumn colId="9">
      <customFilters>
        <customFilter operator="greaterThanOrEqual" val="6"/>
      </customFilters>
    </filterColumn>
  </autoFilter>
  <pageMargins left="0.75" right="0.75" top="1" bottom="1" header="0.5" footer="0.5"/>
  <customProperties>
    <customPr name="KSheetIndex" r:id="rId1"/>
  </customPropertie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2"/>
  <sheetViews>
    <sheetView workbookViewId="0">
      <selection activeCell="D17" sqref="D17"/>
    </sheetView>
  </sheetViews>
  <sheetFormatPr defaultRowHeight="14.4" x14ac:dyDescent="0.3"/>
  <cols>
    <col min="1" max="1" width="21" bestFit="1" customWidth="1"/>
    <col min="2" max="2" width="17.44140625" bestFit="1" customWidth="1"/>
    <col min="3" max="3" width="24.5546875" bestFit="1" customWidth="1"/>
    <col min="4" max="4" width="14.109375" bestFit="1" customWidth="1"/>
    <col min="5" max="5" width="12" bestFit="1" customWidth="1"/>
    <col min="6" max="6" width="16.88671875" bestFit="1" customWidth="1"/>
    <col min="7" max="7" width="14.109375" bestFit="1" customWidth="1"/>
  </cols>
  <sheetData>
    <row r="1" spans="1:7" x14ac:dyDescent="0.3">
      <c r="A1" t="s">
        <v>62</v>
      </c>
      <c r="B1" t="s">
        <v>63</v>
      </c>
      <c r="C1" t="s">
        <v>64</v>
      </c>
      <c r="D1" t="s">
        <v>65</v>
      </c>
      <c r="E1" t="s">
        <v>66</v>
      </c>
      <c r="F1" t="s">
        <v>67</v>
      </c>
      <c r="G1" t="s">
        <v>68</v>
      </c>
    </row>
    <row r="2" spans="1:7" x14ac:dyDescent="0.3">
      <c r="A2">
        <f>COUNTIF(DesignationSorted!J:J,"Colleague")</f>
        <v>1</v>
      </c>
      <c r="B2" s="17">
        <f>COUNTIF(DesignationSorted!J:J,"Junior")</f>
        <v>11</v>
      </c>
      <c r="C2" s="17">
        <f>COUNTIF(DesignationSorted!J:J,"Outside Domain")</f>
        <v>3</v>
      </c>
      <c r="D2">
        <f>COUNTIF(addressedToYou!J:J,"No")</f>
        <v>16</v>
      </c>
      <c r="E2">
        <f>COUNTIF(TypeOfEmail!J:J,"New Email")</f>
        <v>17</v>
      </c>
      <c r="F2" s="17">
        <f>COUNTIF(TypeOfEmail!J:J,"Forward")</f>
        <v>3</v>
      </c>
      <c r="G2" s="17">
        <f>COUNTIF(TypeOfEmail!J:J,"Reply")</f>
        <v>2</v>
      </c>
    </row>
  </sheetData>
  <pageMargins left="0.7" right="0.7" top="0.75" bottom="0.75" header="0.3" footer="0.3"/>
  <customProperties>
    <customPr name="KSheetIndex" r:id="rId1"/>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getWordCloud</vt:lpstr>
      <vt:lpstr>TimeSorted</vt:lpstr>
      <vt:lpstr>DesignationSorted</vt:lpstr>
      <vt:lpstr>addressedToYou</vt:lpstr>
      <vt:lpstr>TypeOfEmail</vt:lpstr>
      <vt:lpstr>isNegativeContext</vt:lpstr>
      <vt:lpstr>overallPriority</vt:lpstr>
      <vt:lpstr>For_Dashboard</vt:lpstr>
    </vt:vector>
  </TitlesOfParts>
  <Company>KPMG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Mishra, Subir</dc:creator>
  <cp:lastModifiedBy>Sahil Kalra</cp:lastModifiedBy>
  <dcterms:created xsi:type="dcterms:W3CDTF">2019-05-11T09:05:18Z</dcterms:created>
  <dcterms:modified xsi:type="dcterms:W3CDTF">2019-05-12T04:44:39Z</dcterms:modified>
</cp:coreProperties>
</file>